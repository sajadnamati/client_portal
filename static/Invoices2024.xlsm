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Sajjad Personal\Backup-Necessary\My Career\Website\Render\Design locally\static\"/>
    </mc:Choice>
  </mc:AlternateContent>
  <bookViews>
    <workbookView xWindow="0" yWindow="0" windowWidth="25125" windowHeight="12300" activeTab="1"/>
  </bookViews>
  <sheets>
    <sheet name="data (3)" sheetId="1" r:id="rId1"/>
    <sheet name="Invoices" sheetId="2" r:id="rId2"/>
  </sheets>
  <calcPr calcId="0"/>
</workbook>
</file>

<file path=xl/calcChain.xml><?xml version="1.0" encoding="utf-8"?>
<calcChain xmlns="http://schemas.openxmlformats.org/spreadsheetml/2006/main">
  <c r="F26" i="2" l="1"/>
  <c r="E26" i="2"/>
  <c r="F21" i="2"/>
  <c r="E21" i="2"/>
  <c r="F15" i="2"/>
  <c r="E15" i="2"/>
  <c r="G15" i="2" s="1"/>
  <c r="G4" i="2"/>
  <c r="F4" i="2"/>
  <c r="E4" i="2"/>
  <c r="G26" i="2" l="1"/>
  <c r="M372" i="1" l="1"/>
  <c r="K382" i="1"/>
  <c r="K381" i="1"/>
  <c r="K380" i="1"/>
  <c r="Q367" i="1"/>
  <c r="M367" i="1"/>
  <c r="Q347" i="1"/>
  <c r="Q341" i="1"/>
  <c r="N347" i="1"/>
  <c r="N341" i="1"/>
  <c r="M347" i="1"/>
  <c r="M341" i="1"/>
  <c r="L347" i="1"/>
  <c r="K347" i="1" s="1"/>
  <c r="L341" i="1"/>
  <c r="K341" i="1" s="1"/>
  <c r="Q312" i="1"/>
  <c r="N312" i="1"/>
  <c r="M312" i="1"/>
  <c r="L312" i="1"/>
  <c r="K312" i="1" s="1"/>
  <c r="M144" i="1"/>
  <c r="K144" i="1"/>
  <c r="J144" i="1" s="1"/>
  <c r="L144" i="1" s="1"/>
  <c r="P130" i="1"/>
  <c r="O130" i="1"/>
  <c r="N130" i="1"/>
  <c r="M130" i="1"/>
  <c r="L130" i="1"/>
  <c r="J130" i="1"/>
  <c r="K130" i="1"/>
  <c r="O2" i="1"/>
  <c r="N2" i="1"/>
  <c r="M2" i="1"/>
  <c r="L2" i="1"/>
  <c r="K2" i="1"/>
  <c r="O347" i="1" l="1"/>
  <c r="P347" i="1" s="1"/>
  <c r="O341" i="1"/>
  <c r="P341" i="1" s="1"/>
  <c r="O312" i="1"/>
  <c r="P312" i="1" s="1"/>
  <c r="N144" i="1"/>
  <c r="O144" i="1" s="1"/>
  <c r="P144" i="1" s="1"/>
  <c r="G21" i="2"/>
</calcChain>
</file>

<file path=xl/sharedStrings.xml><?xml version="1.0" encoding="utf-8"?>
<sst xmlns="http://schemas.openxmlformats.org/spreadsheetml/2006/main" count="44" uniqueCount="26">
  <si>
    <t>Date</t>
  </si>
  <si>
    <t>Ret</t>
  </si>
  <si>
    <t>Bourse Historical Ret</t>
  </si>
  <si>
    <t>Gold Historical</t>
  </si>
  <si>
    <t>Dollar Historical</t>
  </si>
  <si>
    <t>Historical Asset Value</t>
  </si>
  <si>
    <t>Contribution</t>
  </si>
  <si>
    <t>Total MgmtFee=72688972.25, Total PerfFee=467273910.74, NAV=9360807418.01</t>
  </si>
  <si>
    <t>تاریخ</t>
  </si>
  <si>
    <t>سرمایه اولیه</t>
  </si>
  <si>
    <t>افزایش سرمایه</t>
  </si>
  <si>
    <t>سرمایه نهایی</t>
  </si>
  <si>
    <t>28 مهرماه 1403</t>
  </si>
  <si>
    <t>22 شهریور 1404</t>
  </si>
  <si>
    <t>28 مهرماه 1404</t>
  </si>
  <si>
    <t>سرمایه نهایی پیش از سر کارمزد</t>
  </si>
  <si>
    <t>کارمزد ثابت</t>
  </si>
  <si>
    <t>کارمزد عملکرد</t>
  </si>
  <si>
    <t>4 اسفند 1403</t>
  </si>
  <si>
    <t>18 اسفند 1403</t>
  </si>
  <si>
    <t>30 شهریور 1404</t>
  </si>
  <si>
    <t>3 شهریور 1404</t>
  </si>
  <si>
    <t>5 مهرماه 1404</t>
  </si>
  <si>
    <t>28 مهر ماه 1404</t>
  </si>
  <si>
    <t>16 مهر 1404</t>
  </si>
  <si>
    <t>30 اردیبهشت 1404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</si>
</sst>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70" formatCode="0.000000"/>
    <numFmt numFmtId="185" formatCode="0.00000000000000000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3">
    <xf numFmtId="0" fontId="0" fillId="0" borderId="0" xfId="0"/>
    <xf numFmtId="15" fontId="0" fillId="0" borderId="0" xfId="0" applyNumberFormat="1"/>
    <xf numFmtId="0" fontId="18" fillId="0" borderId="10" xfId="0" applyFont="1" applyBorder="1" applyAlignment="1">
      <alignment wrapText="1"/>
    </xf>
    <xf numFmtId="0" fontId="19" fillId="0" borderId="10" xfId="0" applyFont="1" applyBorder="1" applyAlignment="1">
      <alignment wrapText="1"/>
    </xf>
    <xf numFmtId="15" fontId="18" fillId="0" borderId="10" xfId="0" applyNumberFormat="1" applyFont="1" applyBorder="1" applyAlignment="1">
      <alignment horizontal="right" wrapText="1"/>
    </xf>
    <xf numFmtId="0" fontId="18" fillId="0" borderId="10" xfId="0" applyFont="1" applyBorder="1" applyAlignment="1">
      <alignment horizontal="right" wrapText="1"/>
    </xf>
    <xf numFmtId="43" fontId="0" fillId="0" borderId="0" xfId="1" applyFont="1"/>
    <xf numFmtId="170" fontId="0" fillId="0" borderId="0" xfId="0" applyNumberFormat="1"/>
    <xf numFmtId="185" fontId="0" fillId="0" borderId="0" xfId="0" applyNumberFormat="1"/>
    <xf numFmtId="43" fontId="0" fillId="0" borderId="0" xfId="0" applyNumberFormat="1"/>
    <xf numFmtId="0" fontId="18" fillId="0" borderId="0" xfId="0" applyFont="1"/>
    <xf numFmtId="3" fontId="18" fillId="0" borderId="0" xfId="0" applyNumberFormat="1" applyFont="1"/>
    <xf numFmtId="43" fontId="18" fillId="0" borderId="0" xfId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546"/>
  <sheetViews>
    <sheetView topLeftCell="E354" workbookViewId="0">
      <selection activeCell="L363" sqref="L363"/>
    </sheetView>
  </sheetViews>
  <sheetFormatPr defaultRowHeight="15" x14ac:dyDescent="0.25"/>
  <cols>
    <col min="2" max="2" width="19.42578125" customWidth="1"/>
    <col min="6" max="6" width="18" customWidth="1"/>
    <col min="7" max="7" width="27.28515625" customWidth="1"/>
    <col min="11" max="11" width="21.28515625" customWidth="1"/>
    <col min="12" max="12" width="14.28515625" bestFit="1" customWidth="1"/>
    <col min="13" max="14" width="24" bestFit="1" customWidth="1"/>
    <col min="15" max="17" width="15.28515625" bestFit="1" customWidth="1"/>
  </cols>
  <sheetData>
    <row r="1" spans="1:15" ht="39.75" thickBo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</row>
    <row r="2" spans="1:15" ht="15.75" thickBot="1" x14ac:dyDescent="0.3">
      <c r="A2" s="4">
        <v>45582</v>
      </c>
      <c r="B2" s="5">
        <v>-8.2352472236167894E-3</v>
      </c>
      <c r="C2" s="5">
        <v>0</v>
      </c>
      <c r="D2" s="5">
        <v>0</v>
      </c>
      <c r="E2" s="5">
        <v>0</v>
      </c>
      <c r="F2" s="2">
        <v>2028110559</v>
      </c>
      <c r="G2" s="5">
        <v>2030000000</v>
      </c>
      <c r="I2">
        <v>0.7</v>
      </c>
      <c r="J2">
        <v>0.02</v>
      </c>
      <c r="K2">
        <f>A367-A2</f>
        <v>365</v>
      </c>
      <c r="L2" s="6">
        <f>J2*G2</f>
        <v>40600000</v>
      </c>
      <c r="M2" s="8">
        <f>(1+B367)/(1+B2)-1</f>
        <v>0.75655953744340643</v>
      </c>
      <c r="N2">
        <f>MIN(0.25*M2,M2-I2)</f>
        <v>5.6559537443406471E-2</v>
      </c>
      <c r="O2" s="6">
        <f>N2*G2</f>
        <v>114815861.01011513</v>
      </c>
    </row>
    <row r="3" spans="1:15" ht="15.75" thickBot="1" x14ac:dyDescent="0.3">
      <c r="A3" s="4">
        <v>45583</v>
      </c>
      <c r="B3" s="5">
        <v>-8.2352472236167894E-3</v>
      </c>
      <c r="C3" s="5">
        <v>0</v>
      </c>
      <c r="D3" s="5">
        <v>0</v>
      </c>
      <c r="E3" s="5">
        <v>0</v>
      </c>
      <c r="F3" s="2">
        <v>2028110559</v>
      </c>
      <c r="G3" s="5">
        <v>0</v>
      </c>
    </row>
    <row r="4" spans="1:15" ht="15.75" thickBot="1" x14ac:dyDescent="0.3">
      <c r="A4" s="4">
        <v>45584</v>
      </c>
      <c r="B4" s="5">
        <v>-3.4924208985388501E-3</v>
      </c>
      <c r="C4" s="5">
        <v>0</v>
      </c>
      <c r="D4" s="5">
        <v>2.4454527659999999E-2</v>
      </c>
      <c r="E4" s="5">
        <v>0</v>
      </c>
      <c r="F4" s="2">
        <v>2037809408</v>
      </c>
      <c r="G4" s="5">
        <v>0</v>
      </c>
    </row>
    <row r="5" spans="1:15" ht="15.75" thickBot="1" x14ac:dyDescent="0.3">
      <c r="A5" s="4">
        <v>45585</v>
      </c>
      <c r="B5" s="5">
        <v>2.5288486768903801E-2</v>
      </c>
      <c r="C5" s="5">
        <v>0</v>
      </c>
      <c r="D5" s="5">
        <v>4.2717455109999997E-2</v>
      </c>
      <c r="E5" s="5">
        <v>0.01</v>
      </c>
      <c r="F5" s="2">
        <v>2096664961</v>
      </c>
      <c r="G5" s="5">
        <v>0</v>
      </c>
    </row>
    <row r="6" spans="1:15" ht="15.75" thickBot="1" x14ac:dyDescent="0.3">
      <c r="A6" s="4">
        <v>45586</v>
      </c>
      <c r="B6" s="5">
        <v>2.2064174742143301E-2</v>
      </c>
      <c r="C6" s="5">
        <v>0</v>
      </c>
      <c r="D6" s="5">
        <v>4.3096595080000001E-2</v>
      </c>
      <c r="E6" s="5">
        <v>0.02</v>
      </c>
      <c r="F6" s="2">
        <v>2090071400</v>
      </c>
      <c r="G6" s="5">
        <v>0</v>
      </c>
    </row>
    <row r="7" spans="1:15" ht="15.75" thickBot="1" x14ac:dyDescent="0.3">
      <c r="A7" s="4">
        <v>45587</v>
      </c>
      <c r="B7" s="5">
        <v>1.8876740919770499E-2</v>
      </c>
      <c r="C7" s="5">
        <v>0</v>
      </c>
      <c r="D7" s="5">
        <v>4.9499168339999997E-2</v>
      </c>
      <c r="E7" s="5">
        <v>0.04</v>
      </c>
      <c r="F7" s="2">
        <v>2083553253</v>
      </c>
      <c r="G7" s="5">
        <v>0</v>
      </c>
    </row>
    <row r="8" spans="1:15" ht="15.75" thickBot="1" x14ac:dyDescent="0.3">
      <c r="A8" s="4">
        <v>45588</v>
      </c>
      <c r="B8" s="5">
        <v>1.98406359481786E-2</v>
      </c>
      <c r="C8" s="5">
        <v>0</v>
      </c>
      <c r="D8" s="5">
        <v>7.4112690179999996E-2</v>
      </c>
      <c r="E8" s="5">
        <v>7.0000000000000007E-2</v>
      </c>
      <c r="F8" s="2">
        <v>2085524371</v>
      </c>
      <c r="G8" s="5">
        <v>0</v>
      </c>
    </row>
    <row r="9" spans="1:15" ht="15.75" thickBot="1" x14ac:dyDescent="0.3">
      <c r="A9" s="4">
        <v>45589</v>
      </c>
      <c r="B9" s="5">
        <v>1.5777525547109299E-2</v>
      </c>
      <c r="C9" s="5">
        <v>0</v>
      </c>
      <c r="D9" s="5">
        <v>7.4112690179999996E-2</v>
      </c>
      <c r="E9" s="5">
        <v>7.0000000000000007E-2</v>
      </c>
      <c r="F9" s="2">
        <v>2077215509</v>
      </c>
      <c r="G9" s="5">
        <v>0</v>
      </c>
    </row>
    <row r="10" spans="1:15" ht="15.75" thickBot="1" x14ac:dyDescent="0.3">
      <c r="A10" s="4">
        <v>45590</v>
      </c>
      <c r="B10" s="5">
        <v>1.5777525547109299E-2</v>
      </c>
      <c r="C10" s="5">
        <v>0</v>
      </c>
      <c r="D10" s="5">
        <v>7.4112690179999996E-2</v>
      </c>
      <c r="E10" s="5">
        <v>7.0000000000000007E-2</v>
      </c>
      <c r="F10" s="2">
        <v>2077215509</v>
      </c>
      <c r="G10" s="5">
        <v>0</v>
      </c>
    </row>
    <row r="11" spans="1:15" ht="15.75" thickBot="1" x14ac:dyDescent="0.3">
      <c r="A11" s="4">
        <v>45591</v>
      </c>
      <c r="B11" s="5">
        <v>-2.9332532249142E-2</v>
      </c>
      <c r="C11" s="5">
        <v>0</v>
      </c>
      <c r="D11" s="5">
        <v>-1.559977496E-2</v>
      </c>
      <c r="E11" s="5">
        <v>0.03</v>
      </c>
      <c r="F11" s="2">
        <v>1984967640</v>
      </c>
      <c r="G11" s="5">
        <v>0</v>
      </c>
    </row>
    <row r="12" spans="1:15" ht="15.75" thickBot="1" x14ac:dyDescent="0.3">
      <c r="A12" s="4">
        <v>45592</v>
      </c>
      <c r="B12" s="5">
        <v>-1.9856392408316198E-3</v>
      </c>
      <c r="C12" s="5">
        <v>0</v>
      </c>
      <c r="D12" s="5">
        <v>2.7365344160000002E-3</v>
      </c>
      <c r="E12" s="5">
        <v>0.04</v>
      </c>
      <c r="F12" s="2">
        <v>2040890703</v>
      </c>
      <c r="G12" s="5">
        <v>0</v>
      </c>
    </row>
    <row r="13" spans="1:15" ht="15.75" thickBot="1" x14ac:dyDescent="0.3">
      <c r="A13" s="4">
        <v>45593</v>
      </c>
      <c r="B13" s="5">
        <v>1.0173631577287101E-2</v>
      </c>
      <c r="C13" s="5">
        <v>0</v>
      </c>
      <c r="D13" s="5">
        <v>3.2728340100000003E-2</v>
      </c>
      <c r="E13" s="5">
        <v>0.06</v>
      </c>
      <c r="F13" s="2">
        <v>2065755819</v>
      </c>
      <c r="G13" s="5">
        <v>0</v>
      </c>
    </row>
    <row r="14" spans="1:15" ht="15.75" thickBot="1" x14ac:dyDescent="0.3">
      <c r="A14" s="4">
        <v>45594</v>
      </c>
      <c r="B14" s="5">
        <v>2.4947122895236901E-2</v>
      </c>
      <c r="C14" s="5">
        <v>0</v>
      </c>
      <c r="D14" s="5">
        <v>6.5811359520000001E-2</v>
      </c>
      <c r="E14" s="5">
        <v>7.0000000000000007E-2</v>
      </c>
      <c r="F14" s="2">
        <v>2095966888</v>
      </c>
      <c r="G14" s="5">
        <v>0</v>
      </c>
    </row>
    <row r="15" spans="1:15" ht="15.75" thickBot="1" x14ac:dyDescent="0.3">
      <c r="A15" s="4">
        <v>45595</v>
      </c>
      <c r="B15" s="5">
        <v>3.4887296831964197E-2</v>
      </c>
      <c r="C15" s="5">
        <v>0</v>
      </c>
      <c r="D15" s="5">
        <v>7.2024362800000005E-2</v>
      </c>
      <c r="E15" s="5">
        <v>0.08</v>
      </c>
      <c r="F15" s="2">
        <v>2116294059</v>
      </c>
      <c r="G15" s="5">
        <v>0</v>
      </c>
    </row>
    <row r="16" spans="1:15" ht="15.75" thickBot="1" x14ac:dyDescent="0.3">
      <c r="A16" s="4">
        <v>45596</v>
      </c>
      <c r="B16" s="5">
        <v>4.4590293297335201E-2</v>
      </c>
      <c r="C16" s="5">
        <v>0</v>
      </c>
      <c r="D16" s="5">
        <v>7.2024362800000005E-2</v>
      </c>
      <c r="E16" s="5">
        <v>7.0000000000000007E-2</v>
      </c>
      <c r="F16" s="2">
        <v>2136136214</v>
      </c>
      <c r="G16" s="5">
        <v>0</v>
      </c>
    </row>
    <row r="17" spans="1:7" ht="15.75" thickBot="1" x14ac:dyDescent="0.3">
      <c r="A17" s="4">
        <v>45597</v>
      </c>
      <c r="B17" s="5">
        <v>4.4590293297335201E-2</v>
      </c>
      <c r="C17" s="5">
        <v>0</v>
      </c>
      <c r="D17" s="5">
        <v>7.2024362800000005E-2</v>
      </c>
      <c r="E17" s="5">
        <v>7.0000000000000007E-2</v>
      </c>
      <c r="F17" s="2">
        <v>2136136214</v>
      </c>
      <c r="G17" s="5">
        <v>0</v>
      </c>
    </row>
    <row r="18" spans="1:7" ht="15.75" thickBot="1" x14ac:dyDescent="0.3">
      <c r="A18" s="4">
        <v>45598</v>
      </c>
      <c r="B18" s="5">
        <v>2.0985969882769E-2</v>
      </c>
      <c r="C18" s="5">
        <v>-1.346348031E-2</v>
      </c>
      <c r="D18" s="5">
        <v>5.7439704520000003E-2</v>
      </c>
      <c r="E18" s="5">
        <v>0.09</v>
      </c>
      <c r="F18" s="2">
        <v>2087866523</v>
      </c>
      <c r="G18" s="5">
        <v>0</v>
      </c>
    </row>
    <row r="19" spans="1:7" ht="15.75" thickBot="1" x14ac:dyDescent="0.3">
      <c r="A19" s="4">
        <v>45599</v>
      </c>
      <c r="B19" s="5">
        <v>3.6873658154572803E-2</v>
      </c>
      <c r="C19" s="5">
        <v>-2.8273308649999999E-2</v>
      </c>
      <c r="D19" s="5">
        <v>8.1080915810000001E-2</v>
      </c>
      <c r="E19" s="5">
        <v>0.09</v>
      </c>
      <c r="F19" s="2">
        <v>2120356071</v>
      </c>
      <c r="G19" s="5">
        <v>0</v>
      </c>
    </row>
    <row r="20" spans="1:7" ht="15.75" thickBot="1" x14ac:dyDescent="0.3">
      <c r="A20" s="4">
        <v>45600</v>
      </c>
      <c r="B20" s="5">
        <v>1.92135434657261E-2</v>
      </c>
      <c r="C20" s="5">
        <v>-3.5005048810000002E-2</v>
      </c>
      <c r="D20" s="5">
        <v>5.6494912190000003E-2</v>
      </c>
      <c r="E20" s="5">
        <v>0.08</v>
      </c>
      <c r="F20" s="2">
        <v>2084241998</v>
      </c>
      <c r="G20" s="5">
        <v>0</v>
      </c>
    </row>
    <row r="21" spans="1:7" ht="15.75" thickBot="1" x14ac:dyDescent="0.3">
      <c r="A21" s="4">
        <v>45601</v>
      </c>
      <c r="B21" s="5">
        <v>1.53876105360131E-2</v>
      </c>
      <c r="C21" s="5">
        <v>-2.15415685E-2</v>
      </c>
      <c r="D21" s="5">
        <v>4.3986350959999997E-2</v>
      </c>
      <c r="E21" s="5">
        <v>0.08</v>
      </c>
      <c r="F21" s="2">
        <v>2076418151</v>
      </c>
      <c r="G21" s="5">
        <v>0</v>
      </c>
    </row>
    <row r="22" spans="1:7" ht="15.75" thickBot="1" x14ac:dyDescent="0.3">
      <c r="A22" s="4">
        <v>45602</v>
      </c>
      <c r="B22" s="5">
        <v>3.1418886214256397E-2</v>
      </c>
      <c r="C22" s="5">
        <v>-3.7024570850000001E-2</v>
      </c>
      <c r="D22" s="5">
        <v>6.8612103130000004E-2</v>
      </c>
      <c r="E22" s="5">
        <v>0.09</v>
      </c>
      <c r="F22" s="2">
        <v>2109201328</v>
      </c>
      <c r="G22" s="5">
        <v>0</v>
      </c>
    </row>
    <row r="23" spans="1:7" ht="15.75" thickBot="1" x14ac:dyDescent="0.3">
      <c r="A23" s="4">
        <v>45603</v>
      </c>
      <c r="B23" s="5">
        <v>4.6284418092736902E-2</v>
      </c>
      <c r="C23" s="5">
        <v>-3.7024570850000001E-2</v>
      </c>
      <c r="D23" s="5">
        <v>6.8612103130000004E-2</v>
      </c>
      <c r="E23" s="5">
        <v>0.09</v>
      </c>
      <c r="F23" s="2">
        <v>2139600616</v>
      </c>
      <c r="G23" s="5">
        <v>0</v>
      </c>
    </row>
    <row r="24" spans="1:7" ht="15.75" thickBot="1" x14ac:dyDescent="0.3">
      <c r="A24" s="4">
        <v>45604</v>
      </c>
      <c r="B24" s="5">
        <v>4.6284418092736902E-2</v>
      </c>
      <c r="C24" s="5">
        <v>-3.7024570850000001E-2</v>
      </c>
      <c r="D24" s="5">
        <v>6.8612103130000004E-2</v>
      </c>
      <c r="E24" s="5">
        <v>0.09</v>
      </c>
      <c r="F24" s="2">
        <v>2139600616</v>
      </c>
      <c r="G24" s="5">
        <v>0</v>
      </c>
    </row>
    <row r="25" spans="1:7" ht="15.75" thickBot="1" x14ac:dyDescent="0.3">
      <c r="A25" s="4">
        <v>45605</v>
      </c>
      <c r="B25" s="5">
        <v>2.8532985945406399E-2</v>
      </c>
      <c r="C25" s="5">
        <v>-8.414675194E-3</v>
      </c>
      <c r="D25" s="5">
        <v>4.2326084829999999E-2</v>
      </c>
      <c r="E25" s="5">
        <v>0.08</v>
      </c>
      <c r="F25" s="2">
        <v>2103299803</v>
      </c>
      <c r="G25" s="5">
        <v>0</v>
      </c>
    </row>
    <row r="26" spans="1:7" ht="15.75" thickBot="1" x14ac:dyDescent="0.3">
      <c r="A26" s="4">
        <v>45606</v>
      </c>
      <c r="B26" s="5">
        <v>2.2111426568494699E-2</v>
      </c>
      <c r="C26" s="5">
        <v>-8.414675194E-3</v>
      </c>
      <c r="D26" s="5">
        <v>1.135279585E-2</v>
      </c>
      <c r="E26" s="5">
        <v>7.0000000000000007E-2</v>
      </c>
      <c r="F26" s="2">
        <v>2090168027</v>
      </c>
      <c r="G26" s="5">
        <v>0</v>
      </c>
    </row>
    <row r="27" spans="1:7" ht="15.75" thickBot="1" x14ac:dyDescent="0.3">
      <c r="A27" s="4">
        <v>45607</v>
      </c>
      <c r="B27" s="5">
        <v>1.23078156183236E-2</v>
      </c>
      <c r="C27" s="5">
        <v>-8.414675194E-3</v>
      </c>
      <c r="D27" s="5">
        <v>-2.8463015509999998E-2</v>
      </c>
      <c r="E27" s="5">
        <v>0.05</v>
      </c>
      <c r="F27" s="2">
        <v>2070120121</v>
      </c>
      <c r="G27" s="5">
        <v>0</v>
      </c>
    </row>
    <row r="28" spans="1:7" ht="15.75" thickBot="1" x14ac:dyDescent="0.3">
      <c r="A28" s="4">
        <v>45608</v>
      </c>
      <c r="B28" s="5">
        <v>1.7056013558606399E-2</v>
      </c>
      <c r="C28" s="5">
        <v>-8.414675194E-3</v>
      </c>
      <c r="D28" s="5">
        <v>-1.448987329E-2</v>
      </c>
      <c r="E28" s="5">
        <v>0.06</v>
      </c>
      <c r="F28" s="2">
        <v>2079829954</v>
      </c>
      <c r="G28" s="5">
        <v>0</v>
      </c>
    </row>
    <row r="29" spans="1:7" ht="15.75" thickBot="1" x14ac:dyDescent="0.3">
      <c r="A29" s="4">
        <v>45609</v>
      </c>
      <c r="B29" s="5">
        <v>2.72692101681535E-2</v>
      </c>
      <c r="C29" s="5">
        <v>-8.414675194E-3</v>
      </c>
      <c r="D29" s="5">
        <v>7.1639107680000003E-3</v>
      </c>
      <c r="E29" s="5">
        <v>7.0000000000000007E-2</v>
      </c>
      <c r="F29" s="2">
        <v>2100715443</v>
      </c>
      <c r="G29" s="5">
        <v>0</v>
      </c>
    </row>
    <row r="30" spans="1:7" ht="15.75" thickBot="1" x14ac:dyDescent="0.3">
      <c r="A30" s="4">
        <v>45610</v>
      </c>
      <c r="B30" s="5">
        <v>4.0197964864378898E-2</v>
      </c>
      <c r="C30" s="5">
        <v>-8.414675194E-3</v>
      </c>
      <c r="D30" s="5">
        <v>7.1639107680000003E-3</v>
      </c>
      <c r="E30" s="5">
        <v>7.0000000000000007E-2</v>
      </c>
      <c r="F30" s="2">
        <v>2127154116</v>
      </c>
      <c r="G30" s="5">
        <v>0</v>
      </c>
    </row>
    <row r="31" spans="1:7" ht="15.75" thickBot="1" x14ac:dyDescent="0.3">
      <c r="A31" s="4">
        <v>45611</v>
      </c>
      <c r="B31" s="5">
        <v>4.0197964864378898E-2</v>
      </c>
      <c r="C31" s="5">
        <v>-8.414675194E-3</v>
      </c>
      <c r="D31" s="5">
        <v>7.1639107680000003E-3</v>
      </c>
      <c r="E31" s="5">
        <v>7.0000000000000007E-2</v>
      </c>
      <c r="F31" s="2">
        <v>2127154116</v>
      </c>
      <c r="G31" s="5">
        <v>0</v>
      </c>
    </row>
    <row r="32" spans="1:7" ht="15.75" thickBot="1" x14ac:dyDescent="0.3">
      <c r="A32" s="4">
        <v>45612</v>
      </c>
      <c r="B32" s="5">
        <v>2.5634896242053E-2</v>
      </c>
      <c r="C32" s="5">
        <v>-8.414675194E-3</v>
      </c>
      <c r="D32" s="5">
        <v>-4.488527959E-3</v>
      </c>
      <c r="E32" s="5">
        <v>7.0000000000000007E-2</v>
      </c>
      <c r="F32" s="2">
        <v>2097373351</v>
      </c>
      <c r="G32" s="5">
        <v>0</v>
      </c>
    </row>
    <row r="33" spans="1:7" ht="15.75" thickBot="1" x14ac:dyDescent="0.3">
      <c r="A33" s="4">
        <v>45613</v>
      </c>
      <c r="B33" s="5">
        <v>2.5538847608258801E-2</v>
      </c>
      <c r="C33" s="5">
        <v>-8.414675194E-3</v>
      </c>
      <c r="D33" s="5">
        <v>-3.0789834160000001E-3</v>
      </c>
      <c r="E33" s="5">
        <v>7.0000000000000007E-2</v>
      </c>
      <c r="F33" s="2">
        <v>2097176936</v>
      </c>
      <c r="G33" s="5">
        <v>0</v>
      </c>
    </row>
    <row r="34" spans="1:7" ht="15.75" thickBot="1" x14ac:dyDescent="0.3">
      <c r="A34" s="4">
        <v>45614</v>
      </c>
      <c r="B34" s="5">
        <v>2.3485264231535501E-2</v>
      </c>
      <c r="C34" s="5">
        <v>-8.414675194E-3</v>
      </c>
      <c r="D34" s="5">
        <v>1.800914828E-3</v>
      </c>
      <c r="E34" s="5">
        <v>7.0000000000000007E-2</v>
      </c>
      <c r="F34" s="2">
        <v>2092977458</v>
      </c>
      <c r="G34" s="5">
        <v>0</v>
      </c>
    </row>
    <row r="35" spans="1:7" ht="15.75" thickBot="1" x14ac:dyDescent="0.3">
      <c r="A35" s="4">
        <v>45615</v>
      </c>
      <c r="B35" s="5">
        <v>2.59800187284649E-2</v>
      </c>
      <c r="C35" s="5">
        <v>-8.414675194E-3</v>
      </c>
      <c r="D35" s="5">
        <v>2.329876229E-2</v>
      </c>
      <c r="E35" s="5">
        <v>0.08</v>
      </c>
      <c r="F35" s="2">
        <v>2098079110</v>
      </c>
      <c r="G35" s="5">
        <v>0</v>
      </c>
    </row>
    <row r="36" spans="1:7" ht="15.75" thickBot="1" x14ac:dyDescent="0.3">
      <c r="A36" s="4">
        <v>45616</v>
      </c>
      <c r="B36" s="5">
        <v>3.8994357609404298E-2</v>
      </c>
      <c r="C36" s="5">
        <v>-8.414675194E-3</v>
      </c>
      <c r="D36" s="5">
        <v>4.4163690620000001E-2</v>
      </c>
      <c r="E36" s="5">
        <v>0.08</v>
      </c>
      <c r="F36" s="2">
        <v>2124692798</v>
      </c>
      <c r="G36" s="5">
        <v>0</v>
      </c>
    </row>
    <row r="37" spans="1:7" ht="15.75" thickBot="1" x14ac:dyDescent="0.3">
      <c r="A37" s="4">
        <v>45617</v>
      </c>
      <c r="B37" s="5">
        <v>3.0208166600784299E-2</v>
      </c>
      <c r="C37" s="5">
        <v>-8.414675194E-3</v>
      </c>
      <c r="D37" s="5">
        <v>4.4163690620000001E-2</v>
      </c>
      <c r="E37" s="5">
        <v>0.09</v>
      </c>
      <c r="F37" s="2">
        <v>2106725466</v>
      </c>
      <c r="G37" s="5">
        <v>0</v>
      </c>
    </row>
    <row r="38" spans="1:7" ht="15.75" thickBot="1" x14ac:dyDescent="0.3">
      <c r="A38" s="4">
        <v>45618</v>
      </c>
      <c r="B38" s="5">
        <v>3.0208166600784299E-2</v>
      </c>
      <c r="C38" s="5">
        <v>-8.414675194E-3</v>
      </c>
      <c r="D38" s="5">
        <v>4.4163690620000001E-2</v>
      </c>
      <c r="E38" s="5">
        <v>0.09</v>
      </c>
      <c r="F38" s="2">
        <v>2106725466</v>
      </c>
      <c r="G38" s="5">
        <v>0</v>
      </c>
    </row>
    <row r="39" spans="1:7" ht="15.75" thickBot="1" x14ac:dyDescent="0.3">
      <c r="A39" s="4">
        <v>45619</v>
      </c>
      <c r="B39" s="5">
        <v>3.2424982455323097E-2</v>
      </c>
      <c r="C39" s="5">
        <v>-8.414675194E-3</v>
      </c>
      <c r="D39" s="5">
        <v>6.8911745999999996E-2</v>
      </c>
      <c r="E39" s="5">
        <v>0.1</v>
      </c>
      <c r="F39" s="2">
        <v>2111258746</v>
      </c>
      <c r="G39" s="5">
        <v>0</v>
      </c>
    </row>
    <row r="40" spans="1:7" ht="15.75" thickBot="1" x14ac:dyDescent="0.3">
      <c r="A40" s="4">
        <v>45620</v>
      </c>
      <c r="B40" s="5">
        <v>4.1322611632319303E-2</v>
      </c>
      <c r="C40" s="5">
        <v>-8.414675194E-3</v>
      </c>
      <c r="D40" s="5">
        <v>5.3651362459999997E-2</v>
      </c>
      <c r="E40" s="5">
        <v>0.08</v>
      </c>
      <c r="F40" s="2">
        <v>2129453964</v>
      </c>
      <c r="G40" s="5">
        <v>0</v>
      </c>
    </row>
    <row r="41" spans="1:7" ht="15.75" thickBot="1" x14ac:dyDescent="0.3">
      <c r="A41" s="4">
        <v>45621</v>
      </c>
      <c r="B41" s="5">
        <v>2.5231369827673801E-2</v>
      </c>
      <c r="C41" s="5">
        <v>-8.414675194E-3</v>
      </c>
      <c r="D41" s="5">
        <v>3.23553153E-2</v>
      </c>
      <c r="E41" s="5">
        <v>0.09</v>
      </c>
      <c r="F41" s="2">
        <v>2096548159</v>
      </c>
      <c r="G41" s="5">
        <v>0</v>
      </c>
    </row>
    <row r="42" spans="1:7" ht="15.75" thickBot="1" x14ac:dyDescent="0.3">
      <c r="A42" s="4">
        <v>45622</v>
      </c>
      <c r="B42" s="5">
        <v>2.94510674282049E-2</v>
      </c>
      <c r="C42" s="5">
        <v>-8.414675194E-3</v>
      </c>
      <c r="D42" s="5">
        <v>3.1587862629999998E-2</v>
      </c>
      <c r="E42" s="5">
        <v>0.09</v>
      </c>
      <c r="F42" s="2">
        <v>2105177235</v>
      </c>
      <c r="G42" s="5">
        <v>0</v>
      </c>
    </row>
    <row r="43" spans="1:7" ht="15.75" thickBot="1" x14ac:dyDescent="0.3">
      <c r="A43" s="4">
        <v>45623</v>
      </c>
      <c r="B43" s="5">
        <v>3.4781850269839203E-2</v>
      </c>
      <c r="C43" s="5">
        <v>-8.414675194E-3</v>
      </c>
      <c r="D43" s="5">
        <v>3.8079105719999999E-2</v>
      </c>
      <c r="E43" s="5">
        <v>0.09</v>
      </c>
      <c r="F43" s="2">
        <v>2116078426</v>
      </c>
      <c r="G43" s="5">
        <v>0</v>
      </c>
    </row>
    <row r="44" spans="1:7" ht="15.75" thickBot="1" x14ac:dyDescent="0.3">
      <c r="A44" s="4">
        <v>45624</v>
      </c>
      <c r="B44" s="5">
        <v>3.0424103674743502E-2</v>
      </c>
      <c r="C44" s="5">
        <v>-8.414675194E-3</v>
      </c>
      <c r="D44" s="5">
        <v>3.8079105719999999E-2</v>
      </c>
      <c r="E44" s="5">
        <v>0.1</v>
      </c>
      <c r="F44" s="2">
        <v>2107167047</v>
      </c>
      <c r="G44" s="5">
        <v>0</v>
      </c>
    </row>
    <row r="45" spans="1:7" ht="15.75" thickBot="1" x14ac:dyDescent="0.3">
      <c r="A45" s="4">
        <v>45625</v>
      </c>
      <c r="B45" s="5">
        <v>3.0424103674743502E-2</v>
      </c>
      <c r="C45" s="5">
        <v>-8.414675194E-3</v>
      </c>
      <c r="D45" s="5">
        <v>3.8079105719999999E-2</v>
      </c>
      <c r="E45" s="5">
        <v>0.1</v>
      </c>
      <c r="F45" s="2">
        <v>2107167047</v>
      </c>
      <c r="G45" s="5">
        <v>0</v>
      </c>
    </row>
    <row r="46" spans="1:7" ht="15.75" thickBot="1" x14ac:dyDescent="0.3">
      <c r="A46" s="4">
        <v>45626</v>
      </c>
      <c r="B46" s="5">
        <v>4.5164891648316101E-2</v>
      </c>
      <c r="C46" s="5">
        <v>-8.414675194E-3</v>
      </c>
      <c r="D46" s="5">
        <v>6.1601071379999997E-2</v>
      </c>
      <c r="E46" s="5">
        <v>0.11</v>
      </c>
      <c r="F46" s="2">
        <v>2137311239</v>
      </c>
      <c r="G46" s="5">
        <v>0</v>
      </c>
    </row>
    <row r="47" spans="1:7" ht="15.75" thickBot="1" x14ac:dyDescent="0.3">
      <c r="A47" s="4">
        <v>45627</v>
      </c>
      <c r="B47" s="5">
        <v>3.9031667651002501E-2</v>
      </c>
      <c r="C47" s="5">
        <v>0.131942107</v>
      </c>
      <c r="D47" s="5">
        <v>4.8551318429999997E-2</v>
      </c>
      <c r="E47" s="5">
        <v>0.1</v>
      </c>
      <c r="F47" s="2">
        <v>2124769095</v>
      </c>
      <c r="G47" s="5">
        <v>0</v>
      </c>
    </row>
    <row r="48" spans="1:7" ht="15.75" thickBot="1" x14ac:dyDescent="0.3">
      <c r="A48" s="4">
        <v>45628</v>
      </c>
      <c r="B48" s="5">
        <v>4.4655198027171397E-2</v>
      </c>
      <c r="C48" s="5">
        <v>0.1652642208</v>
      </c>
      <c r="D48" s="5">
        <v>5.3526001660000003E-2</v>
      </c>
      <c r="E48" s="5">
        <v>0.11</v>
      </c>
      <c r="F48" s="2">
        <v>2136268941</v>
      </c>
      <c r="G48" s="5">
        <v>0</v>
      </c>
    </row>
    <row r="49" spans="1:7" ht="15.75" thickBot="1" x14ac:dyDescent="0.3">
      <c r="A49" s="4">
        <v>45629</v>
      </c>
      <c r="B49" s="5">
        <v>4.7848062106311998E-2</v>
      </c>
      <c r="C49" s="5">
        <v>0.171995961</v>
      </c>
      <c r="D49" s="5">
        <v>5.9133604030000002E-2</v>
      </c>
      <c r="E49" s="5">
        <v>0.12</v>
      </c>
      <c r="F49" s="2">
        <v>2142798192</v>
      </c>
      <c r="G49" s="5">
        <v>0</v>
      </c>
    </row>
    <row r="50" spans="1:7" ht="15.75" thickBot="1" x14ac:dyDescent="0.3">
      <c r="A50" s="4">
        <v>45630</v>
      </c>
      <c r="B50" s="5">
        <v>4.4849721610421799E-2</v>
      </c>
      <c r="C50" s="5">
        <v>0.1669471558</v>
      </c>
      <c r="D50" s="5">
        <v>6.5028618950000006E-2</v>
      </c>
      <c r="E50" s="5">
        <v>0.12</v>
      </c>
      <c r="F50" s="2">
        <v>2136666732</v>
      </c>
      <c r="G50" s="5">
        <v>0</v>
      </c>
    </row>
    <row r="51" spans="1:7" ht="15.75" thickBot="1" x14ac:dyDescent="0.3">
      <c r="A51" s="4">
        <v>45631</v>
      </c>
      <c r="B51" s="5">
        <v>4.4849721610421799E-2</v>
      </c>
      <c r="C51" s="5">
        <v>0.1669471558</v>
      </c>
      <c r="D51" s="5">
        <v>6.5028618950000006E-2</v>
      </c>
      <c r="E51" s="5">
        <v>0.12</v>
      </c>
      <c r="F51" s="2">
        <v>2136666732</v>
      </c>
      <c r="G51" s="5">
        <v>0</v>
      </c>
    </row>
    <row r="52" spans="1:7" ht="15.75" thickBot="1" x14ac:dyDescent="0.3">
      <c r="A52" s="4">
        <v>45632</v>
      </c>
      <c r="B52" s="5">
        <v>4.4849721610421799E-2</v>
      </c>
      <c r="C52" s="5">
        <v>0.1669471558</v>
      </c>
      <c r="D52" s="5">
        <v>6.5028618950000006E-2</v>
      </c>
      <c r="E52" s="5">
        <v>0.12</v>
      </c>
      <c r="F52" s="2">
        <v>2136666732</v>
      </c>
      <c r="G52" s="5">
        <v>0</v>
      </c>
    </row>
    <row r="53" spans="1:7" ht="15.75" thickBot="1" x14ac:dyDescent="0.3">
      <c r="A53" s="4">
        <v>45633</v>
      </c>
      <c r="B53" s="5">
        <v>4.7271686637489603E-2</v>
      </c>
      <c r="C53" s="5">
        <v>0.1521373275</v>
      </c>
      <c r="D53" s="5">
        <v>5.9298713369999999E-2</v>
      </c>
      <c r="E53" s="5">
        <v>0.12</v>
      </c>
      <c r="F53" s="2">
        <v>2141619532</v>
      </c>
      <c r="G53" s="5">
        <v>0</v>
      </c>
    </row>
    <row r="54" spans="1:7" ht="15.75" thickBot="1" x14ac:dyDescent="0.3">
      <c r="A54" s="4">
        <v>45634</v>
      </c>
      <c r="B54" s="5">
        <v>5.0223759803686298E-2</v>
      </c>
      <c r="C54" s="5">
        <v>0.1450690003</v>
      </c>
      <c r="D54" s="5">
        <v>6.9758695760000003E-2</v>
      </c>
      <c r="E54" s="5">
        <v>0.13</v>
      </c>
      <c r="F54" s="2">
        <v>2147656378</v>
      </c>
      <c r="G54" s="5">
        <v>0</v>
      </c>
    </row>
    <row r="55" spans="1:7" ht="15.75" thickBot="1" x14ac:dyDescent="0.3">
      <c r="A55" s="4">
        <v>45635</v>
      </c>
      <c r="B55" s="5">
        <v>4.8319102008978397E-2</v>
      </c>
      <c r="C55" s="5">
        <v>0.1794008751</v>
      </c>
      <c r="D55" s="5">
        <v>7.2773469990000006E-2</v>
      </c>
      <c r="E55" s="5">
        <v>0.13</v>
      </c>
      <c r="F55" s="2">
        <v>2143761446</v>
      </c>
      <c r="G55" s="5">
        <v>0</v>
      </c>
    </row>
    <row r="56" spans="1:7" ht="15.75" thickBot="1" x14ac:dyDescent="0.3">
      <c r="A56" s="4">
        <v>45636</v>
      </c>
      <c r="B56" s="5">
        <v>5.2953615921662402E-2</v>
      </c>
      <c r="C56" s="5">
        <v>0.1794008751</v>
      </c>
      <c r="D56" s="5">
        <v>8.3530037670000001E-2</v>
      </c>
      <c r="E56" s="5">
        <v>0.14000000000000001</v>
      </c>
      <c r="F56" s="2">
        <v>2153238801</v>
      </c>
      <c r="G56" s="5">
        <v>0</v>
      </c>
    </row>
    <row r="57" spans="1:7" ht="15.75" thickBot="1" x14ac:dyDescent="0.3">
      <c r="A57" s="4">
        <v>45637</v>
      </c>
      <c r="B57" s="5">
        <v>5.8065863021597601E-2</v>
      </c>
      <c r="C57" s="5">
        <v>0.1794008751</v>
      </c>
      <c r="D57" s="5">
        <v>0.1106996967</v>
      </c>
      <c r="E57" s="5">
        <v>0.15</v>
      </c>
      <c r="F57" s="2">
        <v>2163693097</v>
      </c>
      <c r="G57" s="5">
        <v>0</v>
      </c>
    </row>
    <row r="58" spans="1:7" ht="15.75" thickBot="1" x14ac:dyDescent="0.3">
      <c r="A58" s="4">
        <v>45638</v>
      </c>
      <c r="B58" s="5">
        <v>6.4827670107496099E-2</v>
      </c>
      <c r="C58" s="5">
        <v>0.1794008751</v>
      </c>
      <c r="D58" s="5">
        <v>0.1106996967</v>
      </c>
      <c r="E58" s="5">
        <v>0.15</v>
      </c>
      <c r="F58" s="2">
        <v>2177520662</v>
      </c>
      <c r="G58" s="5">
        <v>0</v>
      </c>
    </row>
    <row r="59" spans="1:7" ht="15.75" thickBot="1" x14ac:dyDescent="0.3">
      <c r="A59" s="4">
        <v>45639</v>
      </c>
      <c r="B59" s="5">
        <v>6.4827670107496099E-2</v>
      </c>
      <c r="C59" s="5">
        <v>0.1794008751</v>
      </c>
      <c r="D59" s="5">
        <v>0.1106996967</v>
      </c>
      <c r="E59" s="5">
        <v>0.15</v>
      </c>
      <c r="F59" s="2">
        <v>2177520662</v>
      </c>
      <c r="G59" s="5">
        <v>0</v>
      </c>
    </row>
    <row r="60" spans="1:7" ht="15.75" thickBot="1" x14ac:dyDescent="0.3">
      <c r="A60" s="4">
        <v>45640</v>
      </c>
      <c r="B60" s="5">
        <v>5.74799496222414E-2</v>
      </c>
      <c r="C60" s="5">
        <v>0.1794008751</v>
      </c>
      <c r="D60" s="5">
        <v>0.123134876</v>
      </c>
      <c r="E60" s="5">
        <v>0.18</v>
      </c>
      <c r="F60" s="2">
        <v>2162494932</v>
      </c>
      <c r="G60" s="5">
        <v>0</v>
      </c>
    </row>
    <row r="61" spans="1:7" ht="15.75" thickBot="1" x14ac:dyDescent="0.3">
      <c r="A61" s="4">
        <v>45641</v>
      </c>
      <c r="B61" s="5">
        <v>6.5194880433038505E-2</v>
      </c>
      <c r="C61" s="5">
        <v>0.1794008751</v>
      </c>
      <c r="D61" s="5">
        <v>0.12186598009999999</v>
      </c>
      <c r="E61" s="5">
        <v>0.17</v>
      </c>
      <c r="F61" s="2">
        <v>2178271590</v>
      </c>
      <c r="G61" s="5">
        <v>0</v>
      </c>
    </row>
    <row r="62" spans="1:7" ht="15.75" thickBot="1" x14ac:dyDescent="0.3">
      <c r="A62" s="4">
        <v>45642</v>
      </c>
      <c r="B62" s="5">
        <v>5.4841122174620803E-2</v>
      </c>
      <c r="C62" s="5">
        <v>0.1794008751</v>
      </c>
      <c r="D62" s="5">
        <v>0.1325063598</v>
      </c>
      <c r="E62" s="5">
        <v>0.19</v>
      </c>
      <c r="F62" s="2">
        <v>2157098659</v>
      </c>
      <c r="G62" s="5">
        <v>0</v>
      </c>
    </row>
    <row r="63" spans="1:7" ht="15.75" thickBot="1" x14ac:dyDescent="0.3">
      <c r="A63" s="4">
        <v>45643</v>
      </c>
      <c r="B63" s="5">
        <v>6.2237117974944599E-2</v>
      </c>
      <c r="C63" s="5">
        <v>0.1794008751</v>
      </c>
      <c r="D63" s="5">
        <v>0.14233342299999999</v>
      </c>
      <c r="E63" s="5">
        <v>0.2</v>
      </c>
      <c r="F63" s="2">
        <v>2172223110</v>
      </c>
      <c r="G63" s="5">
        <v>0</v>
      </c>
    </row>
    <row r="64" spans="1:7" ht="15.75" thickBot="1" x14ac:dyDescent="0.3">
      <c r="A64" s="4">
        <v>45644</v>
      </c>
      <c r="B64" s="5">
        <v>6.2237117974944599E-2</v>
      </c>
      <c r="C64" s="5">
        <v>0.1794008751</v>
      </c>
      <c r="D64" s="5">
        <v>0.13520926080000001</v>
      </c>
      <c r="E64" s="5">
        <v>0.21</v>
      </c>
      <c r="F64" s="2">
        <v>2172223110</v>
      </c>
      <c r="G64" s="5">
        <v>0</v>
      </c>
    </row>
    <row r="65" spans="1:7" ht="15.75" thickBot="1" x14ac:dyDescent="0.3">
      <c r="A65" s="4">
        <v>45645</v>
      </c>
      <c r="B65" s="5">
        <v>8.4123489239306098E-2</v>
      </c>
      <c r="C65" s="5">
        <v>0.1794008751</v>
      </c>
      <c r="D65" s="5">
        <v>0.13520926080000001</v>
      </c>
      <c r="E65" s="5">
        <v>0.21</v>
      </c>
      <c r="F65" s="2">
        <v>2216979672</v>
      </c>
      <c r="G65" s="5">
        <v>0</v>
      </c>
    </row>
    <row r="66" spans="1:7" ht="15.75" thickBot="1" x14ac:dyDescent="0.3">
      <c r="A66" s="4">
        <v>45646</v>
      </c>
      <c r="B66" s="5">
        <v>8.4123489239306098E-2</v>
      </c>
      <c r="C66" s="5">
        <v>0.1794008751</v>
      </c>
      <c r="D66" s="5">
        <v>0.13520926080000001</v>
      </c>
      <c r="E66" s="5">
        <v>0.21</v>
      </c>
      <c r="F66" s="2">
        <v>2216979672</v>
      </c>
      <c r="G66" s="5">
        <v>0</v>
      </c>
    </row>
    <row r="67" spans="1:7" ht="15.75" thickBot="1" x14ac:dyDescent="0.3">
      <c r="A67" s="4">
        <v>45647</v>
      </c>
      <c r="B67" s="5">
        <v>6.3508591047915203E-2</v>
      </c>
      <c r="C67" s="5">
        <v>0.1794008751</v>
      </c>
      <c r="D67" s="5">
        <v>0.1083270143</v>
      </c>
      <c r="E67" s="5">
        <v>0.19</v>
      </c>
      <c r="F67" s="2">
        <v>2174823210</v>
      </c>
      <c r="G67" s="5">
        <v>0</v>
      </c>
    </row>
    <row r="68" spans="1:7" ht="15.75" thickBot="1" x14ac:dyDescent="0.3">
      <c r="A68" s="4">
        <v>45648</v>
      </c>
      <c r="B68" s="5">
        <v>5.4504951956341398E-2</v>
      </c>
      <c r="C68" s="5">
        <v>0.1794008751</v>
      </c>
      <c r="D68" s="5">
        <v>9.6481948050000002E-2</v>
      </c>
      <c r="E68" s="5">
        <v>0.2</v>
      </c>
      <c r="F68" s="2">
        <v>2156411207</v>
      </c>
      <c r="G68" s="5">
        <v>0</v>
      </c>
    </row>
    <row r="69" spans="1:7" ht="15.75" thickBot="1" x14ac:dyDescent="0.3">
      <c r="A69" s="4">
        <v>45649</v>
      </c>
      <c r="B69" s="5">
        <v>5.6419401189736297E-2</v>
      </c>
      <c r="C69" s="5">
        <v>0.1794008751</v>
      </c>
      <c r="D69" s="5">
        <v>0.1306779267</v>
      </c>
      <c r="E69" s="5">
        <v>0.22</v>
      </c>
      <c r="F69" s="2">
        <v>2160326163</v>
      </c>
      <c r="G69" s="5">
        <v>0</v>
      </c>
    </row>
    <row r="70" spans="1:7" ht="15.75" thickBot="1" x14ac:dyDescent="0.3">
      <c r="A70" s="4">
        <v>45650</v>
      </c>
      <c r="B70" s="5">
        <v>5.1771495687919201E-2</v>
      </c>
      <c r="C70" s="5">
        <v>0.1794008751</v>
      </c>
      <c r="D70" s="5">
        <v>0.13917188489999999</v>
      </c>
      <c r="E70" s="5">
        <v>0.23</v>
      </c>
      <c r="F70" s="2">
        <v>2150821422</v>
      </c>
      <c r="G70" s="5">
        <v>0</v>
      </c>
    </row>
    <row r="71" spans="1:7" ht="15.75" thickBot="1" x14ac:dyDescent="0.3">
      <c r="A71" s="4">
        <v>45651</v>
      </c>
      <c r="B71" s="5">
        <v>3.9894446257233297E-2</v>
      </c>
      <c r="C71" s="5">
        <v>0.1794008751</v>
      </c>
      <c r="D71" s="5">
        <v>0.13361626139999999</v>
      </c>
      <c r="E71" s="5">
        <v>0.23</v>
      </c>
      <c r="F71" s="2">
        <v>2126533435</v>
      </c>
      <c r="G71" s="5">
        <v>0</v>
      </c>
    </row>
    <row r="72" spans="1:7" ht="15.75" thickBot="1" x14ac:dyDescent="0.3">
      <c r="A72" s="4">
        <v>45652</v>
      </c>
      <c r="B72" s="5">
        <v>1.3762942910918299E-2</v>
      </c>
      <c r="C72" s="5">
        <v>0.1794008751</v>
      </c>
      <c r="D72" s="5">
        <v>0.13361626139999999</v>
      </c>
      <c r="E72" s="5">
        <v>0.25</v>
      </c>
      <c r="F72" s="2">
        <v>2073095785</v>
      </c>
      <c r="G72" s="5">
        <v>0</v>
      </c>
    </row>
    <row r="73" spans="1:7" ht="15.75" thickBot="1" x14ac:dyDescent="0.3">
      <c r="A73" s="4">
        <v>45653</v>
      </c>
      <c r="B73" s="5">
        <v>1.3762942910918299E-2</v>
      </c>
      <c r="C73" s="5">
        <v>0.1794008751</v>
      </c>
      <c r="D73" s="5">
        <v>0.13361626139999999</v>
      </c>
      <c r="E73" s="5">
        <v>0.25</v>
      </c>
      <c r="F73" s="2">
        <v>2073095785</v>
      </c>
      <c r="G73" s="5">
        <v>0</v>
      </c>
    </row>
    <row r="74" spans="1:7" ht="15.75" thickBot="1" x14ac:dyDescent="0.3">
      <c r="A74" s="4">
        <v>45654</v>
      </c>
      <c r="B74" s="5">
        <v>5.6873803260245798E-2</v>
      </c>
      <c r="C74" s="5">
        <v>0.1794008751</v>
      </c>
      <c r="D74" s="5">
        <v>0.16136074559999999</v>
      </c>
      <c r="E74" s="5">
        <v>0.28000000000000003</v>
      </c>
      <c r="F74" s="2">
        <v>2161255393</v>
      </c>
      <c r="G74" s="5">
        <v>0</v>
      </c>
    </row>
    <row r="75" spans="1:7" ht="15.75" thickBot="1" x14ac:dyDescent="0.3">
      <c r="A75" s="4">
        <v>45655</v>
      </c>
      <c r="B75" s="5">
        <v>7.3693525425906806E-2</v>
      </c>
      <c r="C75" s="5">
        <v>0.1794008751</v>
      </c>
      <c r="D75" s="5">
        <v>0.14122963650000001</v>
      </c>
      <c r="E75" s="5">
        <v>0.25</v>
      </c>
      <c r="F75" s="2">
        <v>2195650904</v>
      </c>
      <c r="G75" s="5">
        <v>0</v>
      </c>
    </row>
    <row r="76" spans="1:7" ht="15.75" thickBot="1" x14ac:dyDescent="0.3">
      <c r="A76" s="4">
        <v>45656</v>
      </c>
      <c r="B76" s="5">
        <v>0.11043098360937501</v>
      </c>
      <c r="C76" s="5">
        <v>0.1794008751</v>
      </c>
      <c r="D76" s="5">
        <v>0.13315150919999999</v>
      </c>
      <c r="E76" s="5">
        <v>0.28000000000000003</v>
      </c>
      <c r="F76" s="2">
        <v>4315728453</v>
      </c>
      <c r="G76" s="5">
        <v>0</v>
      </c>
    </row>
    <row r="77" spans="1:7" ht="15.75" thickBot="1" x14ac:dyDescent="0.3">
      <c r="A77" s="4">
        <v>45657</v>
      </c>
      <c r="B77" s="5">
        <v>7.38278429143156E-2</v>
      </c>
      <c r="C77" s="5">
        <v>0.1794008751</v>
      </c>
      <c r="D77" s="5">
        <v>0.1435595127</v>
      </c>
      <c r="E77" s="5">
        <v>0.28000000000000003</v>
      </c>
      <c r="F77" s="2">
        <v>2195925577</v>
      </c>
      <c r="G77" s="5">
        <v>0</v>
      </c>
    </row>
    <row r="78" spans="1:7" ht="15.75" thickBot="1" x14ac:dyDescent="0.3">
      <c r="A78" s="4">
        <v>45658</v>
      </c>
      <c r="B78" s="5">
        <v>8.6152857149061304E-2</v>
      </c>
      <c r="C78" s="5">
        <v>0.28273308650000001</v>
      </c>
      <c r="D78" s="5">
        <v>0.14110121810000001</v>
      </c>
      <c r="E78" s="5">
        <v>0.28000000000000003</v>
      </c>
      <c r="F78" s="2">
        <v>2221129630</v>
      </c>
      <c r="G78" s="5">
        <v>0</v>
      </c>
    </row>
    <row r="79" spans="1:7" ht="15.75" thickBot="1" x14ac:dyDescent="0.3">
      <c r="A79" s="4">
        <v>45659</v>
      </c>
      <c r="B79" s="5">
        <v>0.10012994135149</v>
      </c>
      <c r="C79" s="5">
        <v>0.28273308650000001</v>
      </c>
      <c r="D79" s="5">
        <v>0.14110121810000001</v>
      </c>
      <c r="E79" s="5">
        <v>0.27</v>
      </c>
      <c r="F79" s="2">
        <v>2249712086</v>
      </c>
      <c r="G79" s="5">
        <v>0</v>
      </c>
    </row>
    <row r="80" spans="1:7" ht="15.75" thickBot="1" x14ac:dyDescent="0.3">
      <c r="A80" s="4">
        <v>45660</v>
      </c>
      <c r="B80" s="5">
        <v>0.10012994135149</v>
      </c>
      <c r="C80" s="5">
        <v>0.28273308650000001</v>
      </c>
      <c r="D80" s="5">
        <v>0.14110121810000001</v>
      </c>
      <c r="E80" s="5">
        <v>0.27</v>
      </c>
      <c r="F80" s="2">
        <v>2249712086</v>
      </c>
      <c r="G80" s="5">
        <v>0</v>
      </c>
    </row>
    <row r="81" spans="1:7" ht="15.75" thickBot="1" x14ac:dyDescent="0.3">
      <c r="A81" s="4">
        <v>45661</v>
      </c>
      <c r="B81" s="5">
        <v>0.118965680834141</v>
      </c>
      <c r="C81" s="5">
        <v>0.3211040054</v>
      </c>
      <c r="D81" s="5">
        <v>0.1285131598</v>
      </c>
      <c r="E81" s="5">
        <v>0.26</v>
      </c>
      <c r="F81" s="2">
        <v>2288230255</v>
      </c>
      <c r="G81" s="5">
        <v>0</v>
      </c>
    </row>
    <row r="82" spans="1:7" ht="15.75" thickBot="1" x14ac:dyDescent="0.3">
      <c r="A82" s="4">
        <v>45662</v>
      </c>
      <c r="B82" s="5">
        <v>0.113577670409305</v>
      </c>
      <c r="C82" s="5">
        <v>0.3227869404</v>
      </c>
      <c r="D82" s="5">
        <v>0.12636368079999999</v>
      </c>
      <c r="E82" s="5">
        <v>0.25</v>
      </c>
      <c r="F82" s="2">
        <v>2277212036</v>
      </c>
      <c r="G82" s="5">
        <v>0</v>
      </c>
    </row>
    <row r="83" spans="1:7" ht="15.75" thickBot="1" x14ac:dyDescent="0.3">
      <c r="A83" s="4">
        <v>45663</v>
      </c>
      <c r="B83" s="5">
        <v>0.10842559826609</v>
      </c>
      <c r="C83" s="5">
        <v>0.30663076410000001</v>
      </c>
      <c r="D83" s="5">
        <v>0.12292390290000001</v>
      </c>
      <c r="E83" s="5">
        <v>0.26</v>
      </c>
      <c r="F83" s="2">
        <v>2266676300</v>
      </c>
      <c r="G83" s="5">
        <v>0</v>
      </c>
    </row>
    <row r="84" spans="1:7" ht="15.75" thickBot="1" x14ac:dyDescent="0.3">
      <c r="A84" s="4">
        <v>45664</v>
      </c>
      <c r="B84" s="5">
        <v>8.1005386638997895E-2</v>
      </c>
      <c r="C84" s="5">
        <v>0.3332211377</v>
      </c>
      <c r="D84" s="5">
        <v>0.13870407509999999</v>
      </c>
      <c r="E84" s="5">
        <v>0.26</v>
      </c>
      <c r="F84" s="2">
        <v>2210603304</v>
      </c>
      <c r="G84" s="5">
        <v>0</v>
      </c>
    </row>
    <row r="85" spans="1:7" ht="15.75" thickBot="1" x14ac:dyDescent="0.3">
      <c r="A85" s="4">
        <v>45665</v>
      </c>
      <c r="B85" s="5">
        <v>6.4819267525360505E-2</v>
      </c>
      <c r="C85" s="5">
        <v>0.3382699428</v>
      </c>
      <c r="D85" s="5">
        <v>0.15451176559999999</v>
      </c>
      <c r="E85" s="5">
        <v>0.26</v>
      </c>
      <c r="F85" s="2">
        <v>2177503480</v>
      </c>
      <c r="G85" s="5">
        <v>0</v>
      </c>
    </row>
    <row r="86" spans="1:7" ht="15.75" thickBot="1" x14ac:dyDescent="0.3">
      <c r="A86" s="4">
        <v>45666</v>
      </c>
      <c r="B86" s="5">
        <v>3.1576316639639897E-2</v>
      </c>
      <c r="C86" s="5">
        <v>0.3382699428</v>
      </c>
      <c r="D86" s="5">
        <v>0.15451176559999999</v>
      </c>
      <c r="E86" s="5">
        <v>0.28000000000000003</v>
      </c>
      <c r="F86" s="2">
        <v>2109523266</v>
      </c>
      <c r="G86" s="5">
        <v>0</v>
      </c>
    </row>
    <row r="87" spans="1:7" ht="15.75" thickBot="1" x14ac:dyDescent="0.3">
      <c r="A87" s="4">
        <v>45667</v>
      </c>
      <c r="B87" s="5">
        <v>3.1576316639639897E-2</v>
      </c>
      <c r="C87" s="5">
        <v>0.3382699428</v>
      </c>
      <c r="D87" s="5">
        <v>0.15451176559999999</v>
      </c>
      <c r="E87" s="5">
        <v>0.28000000000000003</v>
      </c>
      <c r="F87" s="2">
        <v>2109523266</v>
      </c>
      <c r="G87" s="5">
        <v>0</v>
      </c>
    </row>
    <row r="88" spans="1:7" ht="15.75" thickBot="1" x14ac:dyDescent="0.3">
      <c r="A88" s="4">
        <v>45668</v>
      </c>
      <c r="B88" s="5">
        <v>4.9999582459743001E-2</v>
      </c>
      <c r="C88" s="5">
        <v>0.3251430495</v>
      </c>
      <c r="D88" s="5">
        <v>0.18561958810000001</v>
      </c>
      <c r="E88" s="5">
        <v>0.28999999999999998</v>
      </c>
      <c r="F88" s="2">
        <v>2147197946</v>
      </c>
      <c r="G88" s="5">
        <v>0</v>
      </c>
    </row>
    <row r="89" spans="1:7" ht="15.75" thickBot="1" x14ac:dyDescent="0.3">
      <c r="A89" s="4">
        <v>45669</v>
      </c>
      <c r="B89" s="5">
        <v>8.4618756322188696E-2</v>
      </c>
      <c r="C89" s="5">
        <v>0.3005721979</v>
      </c>
      <c r="D89" s="5">
        <v>0.17834866199999999</v>
      </c>
      <c r="E89" s="5">
        <v>0.27</v>
      </c>
      <c r="F89" s="2">
        <v>2217992469</v>
      </c>
      <c r="G89" s="5">
        <v>0</v>
      </c>
    </row>
    <row r="90" spans="1:7" ht="15.75" thickBot="1" x14ac:dyDescent="0.3">
      <c r="A90" s="4">
        <v>45670</v>
      </c>
      <c r="B90" s="5">
        <v>8.0737153259255595E-2</v>
      </c>
      <c r="C90" s="5">
        <v>0.3130259172</v>
      </c>
      <c r="D90" s="5">
        <v>0.18892483239999999</v>
      </c>
      <c r="E90" s="5">
        <v>0.28000000000000003</v>
      </c>
      <c r="F90" s="2">
        <v>2210054780</v>
      </c>
      <c r="G90" s="5">
        <v>0</v>
      </c>
    </row>
    <row r="91" spans="1:7" ht="15.75" thickBot="1" x14ac:dyDescent="0.3">
      <c r="A91" s="4">
        <v>45671</v>
      </c>
      <c r="B91" s="5">
        <v>8.0737153259255595E-2</v>
      </c>
      <c r="C91" s="5">
        <v>0.3130259172</v>
      </c>
      <c r="D91" s="5">
        <v>0.18892483239999999</v>
      </c>
      <c r="E91" s="5">
        <v>0.28000000000000003</v>
      </c>
      <c r="F91" s="2">
        <v>2210054780</v>
      </c>
      <c r="G91" s="5">
        <v>0</v>
      </c>
    </row>
    <row r="92" spans="1:7" ht="15.75" thickBot="1" x14ac:dyDescent="0.3">
      <c r="A92" s="4">
        <v>45672</v>
      </c>
      <c r="B92" s="5">
        <v>7.8395674979321997E-2</v>
      </c>
      <c r="C92" s="5">
        <v>0.31100639520000001</v>
      </c>
      <c r="D92" s="5">
        <v>0.18046145</v>
      </c>
      <c r="E92" s="5">
        <v>0.26</v>
      </c>
      <c r="F92" s="2">
        <v>2205266571</v>
      </c>
      <c r="G92" s="5">
        <v>0</v>
      </c>
    </row>
    <row r="93" spans="1:7" ht="15.75" thickBot="1" x14ac:dyDescent="0.3">
      <c r="A93" s="4">
        <v>45673</v>
      </c>
      <c r="B93" s="5">
        <v>9.2795607435405505E-2</v>
      </c>
      <c r="C93" s="5">
        <v>0.31100639520000001</v>
      </c>
      <c r="D93" s="5">
        <v>0.18046145</v>
      </c>
      <c r="E93" s="5">
        <v>0.26</v>
      </c>
      <c r="F93" s="2">
        <v>2234713731</v>
      </c>
      <c r="G93" s="5">
        <v>0</v>
      </c>
    </row>
    <row r="94" spans="1:7" ht="15.75" thickBot="1" x14ac:dyDescent="0.3">
      <c r="A94" s="4">
        <v>45674</v>
      </c>
      <c r="B94" s="5">
        <v>9.2795607435405505E-2</v>
      </c>
      <c r="C94" s="5">
        <v>0.31100639520000001</v>
      </c>
      <c r="D94" s="5">
        <v>0.18046145</v>
      </c>
      <c r="E94" s="5">
        <v>0.26</v>
      </c>
      <c r="F94" s="2">
        <v>2234713731</v>
      </c>
      <c r="G94" s="5">
        <v>0</v>
      </c>
    </row>
    <row r="95" spans="1:7" ht="15.75" thickBot="1" x14ac:dyDescent="0.3">
      <c r="A95" s="4">
        <v>45675</v>
      </c>
      <c r="B95" s="5">
        <v>7.1265318910964007E-2</v>
      </c>
      <c r="C95" s="5">
        <v>0.28172332550000001</v>
      </c>
      <c r="D95" s="5">
        <v>0.17560295479999999</v>
      </c>
      <c r="E95" s="5">
        <v>0.27</v>
      </c>
      <c r="F95" s="2">
        <v>2190685340</v>
      </c>
      <c r="G95" s="5">
        <v>0</v>
      </c>
    </row>
    <row r="96" spans="1:7" ht="15.75" thickBot="1" x14ac:dyDescent="0.3">
      <c r="A96" s="4">
        <v>45676</v>
      </c>
      <c r="B96" s="5">
        <v>7.8068708027346806E-2</v>
      </c>
      <c r="C96" s="5">
        <v>0.28205991250000001</v>
      </c>
      <c r="D96" s="5">
        <v>0.1843170589</v>
      </c>
      <c r="E96" s="5">
        <v>0.27</v>
      </c>
      <c r="F96" s="2">
        <v>2204597939</v>
      </c>
      <c r="G96" s="5">
        <v>0</v>
      </c>
    </row>
    <row r="97" spans="1:7" ht="15.75" thickBot="1" x14ac:dyDescent="0.3">
      <c r="A97" s="4">
        <v>45677</v>
      </c>
      <c r="B97" s="5">
        <v>8.4018368694918105E-2</v>
      </c>
      <c r="C97" s="5">
        <v>0.27027936720000001</v>
      </c>
      <c r="D97" s="5">
        <v>0.19054535</v>
      </c>
      <c r="E97" s="5">
        <v>0.27</v>
      </c>
      <c r="F97" s="2">
        <v>2216764705</v>
      </c>
      <c r="G97" s="5">
        <v>0</v>
      </c>
    </row>
    <row r="98" spans="1:7" ht="15.75" thickBot="1" x14ac:dyDescent="0.3">
      <c r="A98" s="4">
        <v>45678</v>
      </c>
      <c r="B98" s="5">
        <v>7.4558163928592602E-2</v>
      </c>
      <c r="C98" s="5">
        <v>0.27398182430000001</v>
      </c>
      <c r="D98" s="5">
        <v>0.21272809549999999</v>
      </c>
      <c r="E98" s="5">
        <v>0.3</v>
      </c>
      <c r="F98" s="2">
        <v>2197419048</v>
      </c>
      <c r="G98" s="5">
        <v>0</v>
      </c>
    </row>
    <row r="99" spans="1:7" ht="15.75" thickBot="1" x14ac:dyDescent="0.3">
      <c r="A99" s="4">
        <v>45679</v>
      </c>
      <c r="B99" s="5">
        <v>8.9742549338033301E-2</v>
      </c>
      <c r="C99" s="5">
        <v>0.305621003</v>
      </c>
      <c r="D99" s="5">
        <v>0.24454221910000001</v>
      </c>
      <c r="E99" s="5">
        <v>0.3</v>
      </c>
      <c r="F99" s="2">
        <v>2228470376</v>
      </c>
      <c r="G99" s="5">
        <v>0</v>
      </c>
    </row>
    <row r="100" spans="1:7" ht="15.75" thickBot="1" x14ac:dyDescent="0.3">
      <c r="A100" s="4">
        <v>45680</v>
      </c>
      <c r="B100" s="5">
        <v>7.5851557508578804E-2</v>
      </c>
      <c r="C100" s="5">
        <v>0.305621003</v>
      </c>
      <c r="D100" s="5">
        <v>0.24454221910000001</v>
      </c>
      <c r="E100" s="5">
        <v>0.32</v>
      </c>
      <c r="F100" s="2">
        <v>2200063975</v>
      </c>
      <c r="G100" s="5">
        <v>0</v>
      </c>
    </row>
    <row r="101" spans="1:7" ht="15.75" thickBot="1" x14ac:dyDescent="0.3">
      <c r="A101" s="4">
        <v>45681</v>
      </c>
      <c r="B101" s="5">
        <v>7.5851557508578804E-2</v>
      </c>
      <c r="C101" s="5">
        <v>0.305621003</v>
      </c>
      <c r="D101" s="5">
        <v>0.24454221910000001</v>
      </c>
      <c r="E101" s="5">
        <v>0.32</v>
      </c>
      <c r="F101" s="2">
        <v>2200063975</v>
      </c>
      <c r="G101" s="5">
        <v>0</v>
      </c>
    </row>
    <row r="102" spans="1:7" ht="15.75" thickBot="1" x14ac:dyDescent="0.3">
      <c r="A102" s="4">
        <v>45682</v>
      </c>
      <c r="B102" s="5">
        <v>0.13074853901750499</v>
      </c>
      <c r="C102" s="5">
        <v>0.3130259172</v>
      </c>
      <c r="D102" s="5">
        <v>0.26477422830000003</v>
      </c>
      <c r="E102" s="5">
        <v>0.31</v>
      </c>
      <c r="F102" s="2">
        <v>2312325625</v>
      </c>
      <c r="G102" s="5">
        <v>0</v>
      </c>
    </row>
    <row r="103" spans="1:7" ht="15.75" thickBot="1" x14ac:dyDescent="0.3">
      <c r="A103" s="4">
        <v>45683</v>
      </c>
      <c r="B103" s="5">
        <v>0.12881945073406301</v>
      </c>
      <c r="C103" s="5">
        <v>0.29215752270000001</v>
      </c>
      <c r="D103" s="5">
        <v>0.26890196170000003</v>
      </c>
      <c r="E103" s="5">
        <v>0.32</v>
      </c>
      <c r="F103" s="2">
        <v>2308380733</v>
      </c>
      <c r="G103" s="5">
        <v>0</v>
      </c>
    </row>
    <row r="104" spans="1:7" ht="15.75" thickBot="1" x14ac:dyDescent="0.3">
      <c r="A104" s="4">
        <v>45684</v>
      </c>
      <c r="B104" s="5">
        <v>0.128682907728529</v>
      </c>
      <c r="C104" s="5">
        <v>0.28778189160000001</v>
      </c>
      <c r="D104" s="5">
        <v>0.26192456339999998</v>
      </c>
      <c r="E104" s="5">
        <v>0.32</v>
      </c>
      <c r="F104" s="2">
        <v>2308101510</v>
      </c>
      <c r="G104" s="5">
        <v>0</v>
      </c>
    </row>
    <row r="105" spans="1:7" ht="15.75" thickBot="1" x14ac:dyDescent="0.3">
      <c r="A105" s="4">
        <v>45685</v>
      </c>
      <c r="B105" s="5">
        <v>0.128682907728529</v>
      </c>
      <c r="C105" s="5">
        <v>0.28778189160000001</v>
      </c>
      <c r="D105" s="5">
        <v>0.26192456339999998</v>
      </c>
      <c r="E105" s="5">
        <v>0.32</v>
      </c>
      <c r="F105" s="2">
        <v>2308101510</v>
      </c>
      <c r="G105" s="5">
        <v>0</v>
      </c>
    </row>
    <row r="106" spans="1:7" ht="15.75" thickBot="1" x14ac:dyDescent="0.3">
      <c r="A106" s="4">
        <v>45686</v>
      </c>
      <c r="B106" s="5">
        <v>0.15877901086663099</v>
      </c>
      <c r="C106" s="5">
        <v>0.28609895660000001</v>
      </c>
      <c r="D106" s="5">
        <v>0.25498385600000001</v>
      </c>
      <c r="E106" s="5">
        <v>0.31</v>
      </c>
      <c r="F106" s="2">
        <v>2369646573</v>
      </c>
      <c r="G106" s="5">
        <v>0</v>
      </c>
    </row>
    <row r="107" spans="1:7" ht="15.75" thickBot="1" x14ac:dyDescent="0.3">
      <c r="A107" s="4">
        <v>45687</v>
      </c>
      <c r="B107" s="5">
        <v>0.149654139658012</v>
      </c>
      <c r="C107" s="5">
        <v>0.28609895660000001</v>
      </c>
      <c r="D107" s="5">
        <v>0.25498385600000001</v>
      </c>
      <c r="E107" s="5">
        <v>0.31</v>
      </c>
      <c r="F107" s="2">
        <v>2350986656</v>
      </c>
      <c r="G107" s="5">
        <v>0</v>
      </c>
    </row>
    <row r="108" spans="1:7" ht="15.75" thickBot="1" x14ac:dyDescent="0.3">
      <c r="A108" s="4">
        <v>45688</v>
      </c>
      <c r="B108" s="5">
        <v>0.149654139658012</v>
      </c>
      <c r="C108" s="5">
        <v>0.28609895660000001</v>
      </c>
      <c r="D108" s="5">
        <v>0.25498385600000001</v>
      </c>
      <c r="E108" s="5">
        <v>0.31</v>
      </c>
      <c r="F108" s="2">
        <v>2350986656</v>
      </c>
      <c r="G108" s="5">
        <v>0</v>
      </c>
    </row>
    <row r="109" spans="1:7" ht="15.75" thickBot="1" x14ac:dyDescent="0.3">
      <c r="A109" s="4">
        <v>45689</v>
      </c>
      <c r="B109" s="5">
        <v>0.146065535127786</v>
      </c>
      <c r="C109" s="5">
        <v>0.26624032310000001</v>
      </c>
      <c r="D109" s="5">
        <v>0.27891859499999999</v>
      </c>
      <c r="E109" s="5">
        <v>0.32</v>
      </c>
      <c r="F109" s="2">
        <v>2343648135</v>
      </c>
      <c r="G109" s="5">
        <v>0</v>
      </c>
    </row>
    <row r="110" spans="1:7" ht="15.75" thickBot="1" x14ac:dyDescent="0.3">
      <c r="A110" s="4">
        <v>45690</v>
      </c>
      <c r="B110" s="5">
        <v>0.136110278300345</v>
      </c>
      <c r="C110" s="5">
        <v>0.27600134630000001</v>
      </c>
      <c r="D110" s="5">
        <v>0.29602575710000001</v>
      </c>
      <c r="E110" s="5">
        <v>0.32</v>
      </c>
      <c r="F110" s="2">
        <v>2323290120</v>
      </c>
      <c r="G110" s="5">
        <v>0</v>
      </c>
    </row>
    <row r="111" spans="1:7" ht="15.75" thickBot="1" x14ac:dyDescent="0.3">
      <c r="A111" s="4">
        <v>45691</v>
      </c>
      <c r="B111" s="5">
        <v>0.145268364933717</v>
      </c>
      <c r="C111" s="5">
        <v>0.29047458770000001</v>
      </c>
      <c r="D111" s="5">
        <v>0.29927596499999998</v>
      </c>
      <c r="E111" s="5">
        <v>0.32</v>
      </c>
      <c r="F111" s="2">
        <v>2342017961</v>
      </c>
      <c r="G111" s="5">
        <v>0</v>
      </c>
    </row>
    <row r="112" spans="1:7" ht="15.75" thickBot="1" x14ac:dyDescent="0.3">
      <c r="A112" s="4">
        <v>45692</v>
      </c>
      <c r="B112" s="5">
        <v>0.13518643769550601</v>
      </c>
      <c r="C112" s="5">
        <v>0.30696735110000001</v>
      </c>
      <c r="D112" s="5">
        <v>0.30208588130000003</v>
      </c>
      <c r="E112" s="5">
        <v>0.33</v>
      </c>
      <c r="F112" s="2">
        <v>2321400911</v>
      </c>
      <c r="G112" s="5">
        <v>0</v>
      </c>
    </row>
    <row r="113" spans="1:7" ht="15.75" thickBot="1" x14ac:dyDescent="0.3">
      <c r="A113" s="4">
        <v>45693</v>
      </c>
      <c r="B113" s="5">
        <v>0.16289479522398001</v>
      </c>
      <c r="C113" s="5">
        <v>0.2965331538</v>
      </c>
      <c r="D113" s="5">
        <v>0.34660119369999998</v>
      </c>
      <c r="E113" s="5">
        <v>0.34</v>
      </c>
      <c r="F113" s="2">
        <v>2378063151</v>
      </c>
      <c r="G113" s="5">
        <v>0</v>
      </c>
    </row>
    <row r="114" spans="1:7" ht="15.75" thickBot="1" x14ac:dyDescent="0.3">
      <c r="A114" s="4">
        <v>45694</v>
      </c>
      <c r="B114" s="5">
        <v>0.14948195491206301</v>
      </c>
      <c r="C114" s="5">
        <v>0.2965331538</v>
      </c>
      <c r="D114" s="5">
        <v>0.34660119369999998</v>
      </c>
      <c r="E114" s="5">
        <v>0.35</v>
      </c>
      <c r="F114" s="2">
        <v>2350634547</v>
      </c>
      <c r="G114" s="5">
        <v>0</v>
      </c>
    </row>
    <row r="115" spans="1:7" ht="15.75" thickBot="1" x14ac:dyDescent="0.3">
      <c r="A115" s="4">
        <v>45695</v>
      </c>
      <c r="B115" s="5">
        <v>0.14948195491206301</v>
      </c>
      <c r="C115" s="5">
        <v>0.2965331538</v>
      </c>
      <c r="D115" s="5">
        <v>0.34660119369999998</v>
      </c>
      <c r="E115" s="5">
        <v>0.35</v>
      </c>
      <c r="F115" s="2">
        <v>2350634547</v>
      </c>
      <c r="G115" s="5">
        <v>0</v>
      </c>
    </row>
    <row r="116" spans="1:7" ht="15.75" thickBot="1" x14ac:dyDescent="0.3">
      <c r="A116" s="4">
        <v>45696</v>
      </c>
      <c r="B116" s="5">
        <v>0.14948195491206301</v>
      </c>
      <c r="C116" s="5">
        <v>0.2965331538</v>
      </c>
      <c r="D116" s="5">
        <v>0.34660119369999998</v>
      </c>
      <c r="E116" s="5">
        <v>0.4</v>
      </c>
      <c r="F116" s="2">
        <v>2350634547</v>
      </c>
      <c r="G116" s="5">
        <v>0</v>
      </c>
    </row>
    <row r="117" spans="1:7" ht="15.75" thickBot="1" x14ac:dyDescent="0.3">
      <c r="A117" s="4">
        <v>45697</v>
      </c>
      <c r="B117" s="5">
        <v>0.19822496324146299</v>
      </c>
      <c r="C117" s="5">
        <v>0.3285089196</v>
      </c>
      <c r="D117" s="5">
        <v>0.47456704659999999</v>
      </c>
      <c r="E117" s="5">
        <v>0.45</v>
      </c>
      <c r="F117" s="2">
        <v>2450311622</v>
      </c>
      <c r="G117" s="5">
        <v>0</v>
      </c>
    </row>
    <row r="118" spans="1:7" ht="15.75" thickBot="1" x14ac:dyDescent="0.3">
      <c r="A118" s="4">
        <v>45698</v>
      </c>
      <c r="B118" s="5">
        <v>0.19822496324146299</v>
      </c>
      <c r="C118" s="5">
        <v>0.3285089196</v>
      </c>
      <c r="D118" s="5">
        <v>0.47456704659999999</v>
      </c>
      <c r="E118" s="5">
        <v>0.44</v>
      </c>
      <c r="F118" s="2">
        <v>2450311622</v>
      </c>
      <c r="G118" s="5">
        <v>0</v>
      </c>
    </row>
    <row r="119" spans="1:7" ht="15.75" thickBot="1" x14ac:dyDescent="0.3">
      <c r="A119" s="4">
        <v>45699</v>
      </c>
      <c r="B119" s="5">
        <v>0.127477045661369</v>
      </c>
      <c r="C119" s="5">
        <v>0.3285089196</v>
      </c>
      <c r="D119" s="5">
        <v>0.44631500419999998</v>
      </c>
      <c r="E119" s="5">
        <v>0.4</v>
      </c>
      <c r="F119" s="2">
        <v>2305635581</v>
      </c>
      <c r="G119" s="5">
        <v>0</v>
      </c>
    </row>
    <row r="120" spans="1:7" ht="15.75" thickBot="1" x14ac:dyDescent="0.3">
      <c r="A120" s="4">
        <v>45700</v>
      </c>
      <c r="B120" s="5">
        <v>0.127477045661369</v>
      </c>
      <c r="C120" s="5">
        <v>0.3285089196</v>
      </c>
      <c r="D120" s="5">
        <v>0.44631500419999998</v>
      </c>
      <c r="E120" s="5">
        <v>0.4</v>
      </c>
      <c r="F120" s="2">
        <v>2305635581</v>
      </c>
      <c r="G120" s="5">
        <v>0</v>
      </c>
    </row>
    <row r="121" spans="1:7" ht="15.75" thickBot="1" x14ac:dyDescent="0.3">
      <c r="A121" s="4">
        <v>45701</v>
      </c>
      <c r="B121" s="5">
        <v>0.121029207168781</v>
      </c>
      <c r="C121" s="5">
        <v>0.3285089196</v>
      </c>
      <c r="D121" s="5">
        <v>0.44631500419999998</v>
      </c>
      <c r="E121" s="5">
        <v>0.41</v>
      </c>
      <c r="F121" s="2">
        <v>2292450065</v>
      </c>
      <c r="G121" s="5">
        <v>0</v>
      </c>
    </row>
    <row r="122" spans="1:7" ht="15.75" thickBot="1" x14ac:dyDescent="0.3">
      <c r="A122" s="4">
        <v>45702</v>
      </c>
      <c r="B122" s="5">
        <v>0.121029207168781</v>
      </c>
      <c r="C122" s="5">
        <v>0.3285089196</v>
      </c>
      <c r="D122" s="5">
        <v>0.44631500419999998</v>
      </c>
      <c r="E122" s="5">
        <v>0.41</v>
      </c>
      <c r="F122" s="2">
        <v>2292450065</v>
      </c>
      <c r="G122" s="5">
        <v>0</v>
      </c>
    </row>
    <row r="123" spans="1:7" ht="15.75" thickBot="1" x14ac:dyDescent="0.3">
      <c r="A123" s="4">
        <v>45703</v>
      </c>
      <c r="B123" s="5">
        <v>0.137533909895451</v>
      </c>
      <c r="C123" s="5">
        <v>0.3285089196</v>
      </c>
      <c r="D123" s="5">
        <v>0.4733898782</v>
      </c>
      <c r="E123" s="5">
        <v>0.43</v>
      </c>
      <c r="F123" s="2">
        <v>2326201378</v>
      </c>
      <c r="G123" s="5">
        <v>0</v>
      </c>
    </row>
    <row r="124" spans="1:7" ht="15.75" thickBot="1" x14ac:dyDescent="0.3">
      <c r="A124" s="4">
        <v>45704</v>
      </c>
      <c r="B124" s="5">
        <v>0.120435352187265</v>
      </c>
      <c r="C124" s="5">
        <v>0.3054408878</v>
      </c>
      <c r="D124" s="5">
        <v>0.47044848589999999</v>
      </c>
      <c r="E124" s="5">
        <v>0.43</v>
      </c>
      <c r="F124" s="2">
        <v>2291235661</v>
      </c>
      <c r="G124" s="5">
        <v>0</v>
      </c>
    </row>
    <row r="125" spans="1:7" ht="15.75" thickBot="1" x14ac:dyDescent="0.3">
      <c r="A125" s="4">
        <v>45705</v>
      </c>
      <c r="B125" s="5">
        <v>0.14122933924765399</v>
      </c>
      <c r="C125" s="5">
        <v>0.3264118258</v>
      </c>
      <c r="D125" s="5">
        <v>0.4906560344</v>
      </c>
      <c r="E125" s="5">
        <v>0.43</v>
      </c>
      <c r="F125" s="2">
        <v>2333758350</v>
      </c>
      <c r="G125" s="5">
        <v>0</v>
      </c>
    </row>
    <row r="126" spans="1:7" ht="15.75" thickBot="1" x14ac:dyDescent="0.3">
      <c r="A126" s="4">
        <v>45706</v>
      </c>
      <c r="B126" s="5">
        <v>0.14303727908010799</v>
      </c>
      <c r="C126" s="5">
        <v>0.34004293540000002</v>
      </c>
      <c r="D126" s="5">
        <v>0.52240900639999999</v>
      </c>
      <c r="E126" s="5">
        <v>0.45</v>
      </c>
      <c r="F126" s="2">
        <v>2337455499</v>
      </c>
      <c r="G126" s="5">
        <v>0</v>
      </c>
    </row>
    <row r="127" spans="1:7" ht="15.75" thickBot="1" x14ac:dyDescent="0.3">
      <c r="A127" s="4">
        <v>45707</v>
      </c>
      <c r="B127" s="5">
        <v>0.14316358905750401</v>
      </c>
      <c r="C127" s="5">
        <v>0.35052840439999999</v>
      </c>
      <c r="D127" s="5">
        <v>0.59182525320000001</v>
      </c>
      <c r="E127" s="5">
        <v>0.45</v>
      </c>
      <c r="F127" s="2">
        <v>2337713797</v>
      </c>
      <c r="G127" s="5">
        <v>0</v>
      </c>
    </row>
    <row r="128" spans="1:7" ht="15.75" thickBot="1" x14ac:dyDescent="0.3">
      <c r="A128" s="4">
        <v>45708</v>
      </c>
      <c r="B128" s="5">
        <v>9.5531163972863806E-2</v>
      </c>
      <c r="C128" s="5">
        <v>0.35052840439999999</v>
      </c>
      <c r="D128" s="5">
        <v>0.59182525320000001</v>
      </c>
      <c r="E128" s="5">
        <v>0.47</v>
      </c>
      <c r="F128" s="2">
        <v>2240307810</v>
      </c>
      <c r="G128" s="5">
        <v>0</v>
      </c>
    </row>
    <row r="129" spans="1:16" ht="15.75" thickBot="1" x14ac:dyDescent="0.3">
      <c r="A129" s="4">
        <v>45709</v>
      </c>
      <c r="B129" s="5">
        <v>9.5531163972863806E-2</v>
      </c>
      <c r="C129" s="5">
        <v>0.35052840439999999</v>
      </c>
      <c r="D129" s="5">
        <v>0.59182525320000001</v>
      </c>
      <c r="E129" s="5">
        <v>0.47</v>
      </c>
      <c r="F129" s="2">
        <v>2240307810</v>
      </c>
      <c r="G129" s="5">
        <v>0</v>
      </c>
    </row>
    <row r="130" spans="1:16" ht="15.75" thickBot="1" x14ac:dyDescent="0.3">
      <c r="A130" s="4">
        <v>45710</v>
      </c>
      <c r="B130" s="5">
        <v>0.151898827437221</v>
      </c>
      <c r="C130" s="5">
        <v>0.34633421679999998</v>
      </c>
      <c r="D130" s="5">
        <v>0.65081515089999997</v>
      </c>
      <c r="E130" s="5">
        <v>0.47</v>
      </c>
      <c r="F130" s="2">
        <v>2855576933</v>
      </c>
      <c r="G130" s="5">
        <v>1000000000</v>
      </c>
      <c r="H130">
        <v>0.7</v>
      </c>
      <c r="I130">
        <v>0.02</v>
      </c>
      <c r="J130">
        <f>(1+I130)^(K130/365)-1</f>
        <v>1.2941165688634459E-2</v>
      </c>
      <c r="K130">
        <f>A367-A130</f>
        <v>237</v>
      </c>
      <c r="L130" s="6">
        <f>J130*G130</f>
        <v>12941165.688634459</v>
      </c>
      <c r="M130" s="8">
        <f>(1+B367)/(1+B130)-1</f>
        <v>0.51236705333351251</v>
      </c>
      <c r="N130">
        <f>(1+H130)^(K130/365)-1</f>
        <v>0.41134749632954226</v>
      </c>
      <c r="O130">
        <f>MIN(0.25*M130,M130-N130)</f>
        <v>0.10101955700397025</v>
      </c>
      <c r="P130" s="6">
        <f>O130*G130</f>
        <v>101019557.00397025</v>
      </c>
    </row>
    <row r="131" spans="1:16" ht="15.75" thickBot="1" x14ac:dyDescent="0.3">
      <c r="A131" s="4">
        <v>45711</v>
      </c>
      <c r="B131" s="5">
        <v>0.120003285610321</v>
      </c>
      <c r="C131" s="5">
        <v>0.37254788929999999</v>
      </c>
      <c r="D131" s="5">
        <v>0.57889780339999997</v>
      </c>
      <c r="E131" s="5">
        <v>0.46</v>
      </c>
      <c r="F131" s="2">
        <v>3276507339</v>
      </c>
      <c r="G131" s="5">
        <v>0</v>
      </c>
    </row>
    <row r="132" spans="1:16" ht="15.75" thickBot="1" x14ac:dyDescent="0.3">
      <c r="A132" s="4">
        <v>45712</v>
      </c>
      <c r="B132" s="5">
        <v>0.12424632852824399</v>
      </c>
      <c r="C132" s="5">
        <v>0.40819848380000001</v>
      </c>
      <c r="D132" s="5">
        <v>0.58735507070000004</v>
      </c>
      <c r="E132" s="5">
        <v>0.44</v>
      </c>
      <c r="F132" s="2">
        <v>3288920125</v>
      </c>
      <c r="G132" s="5">
        <v>0</v>
      </c>
    </row>
    <row r="133" spans="1:16" ht="15.75" thickBot="1" x14ac:dyDescent="0.3">
      <c r="A133" s="4">
        <v>45713</v>
      </c>
      <c r="B133" s="5">
        <v>0.100721090719917</v>
      </c>
      <c r="C133" s="5">
        <v>0.42182959349999999</v>
      </c>
      <c r="D133" s="5">
        <v>0.53899637980000004</v>
      </c>
      <c r="E133" s="5">
        <v>0.45</v>
      </c>
      <c r="F133" s="2">
        <v>3220098350</v>
      </c>
      <c r="G133" s="5">
        <v>0</v>
      </c>
    </row>
    <row r="134" spans="1:16" ht="15.75" thickBot="1" x14ac:dyDescent="0.3">
      <c r="A134" s="4">
        <v>45714</v>
      </c>
      <c r="B134" s="5">
        <v>0.112462435965374</v>
      </c>
      <c r="C134" s="5">
        <v>0.40714993690000001</v>
      </c>
      <c r="D134" s="5">
        <v>0.57710911890000005</v>
      </c>
      <c r="E134" s="5">
        <v>0.46</v>
      </c>
      <c r="F134" s="2">
        <v>3254447002</v>
      </c>
      <c r="G134" s="5">
        <v>0</v>
      </c>
    </row>
    <row r="135" spans="1:16" ht="15.75" thickBot="1" x14ac:dyDescent="0.3">
      <c r="A135" s="4">
        <v>45715</v>
      </c>
      <c r="B135" s="5">
        <v>0.12588463402514799</v>
      </c>
      <c r="C135" s="5">
        <v>0.40714993690000001</v>
      </c>
      <c r="D135" s="5">
        <v>0.57710911890000005</v>
      </c>
      <c r="E135" s="5">
        <v>0.46</v>
      </c>
      <c r="F135" s="2">
        <v>3293712896</v>
      </c>
      <c r="G135" s="5">
        <v>0</v>
      </c>
    </row>
    <row r="136" spans="1:16" ht="15.75" thickBot="1" x14ac:dyDescent="0.3">
      <c r="A136" s="4">
        <v>45716</v>
      </c>
      <c r="B136" s="5">
        <v>0.12588463402514799</v>
      </c>
      <c r="C136" s="5">
        <v>0.40714993690000001</v>
      </c>
      <c r="D136" s="5">
        <v>0.57710911890000005</v>
      </c>
      <c r="E136" s="5">
        <v>0.46</v>
      </c>
      <c r="F136" s="2">
        <v>3293712896</v>
      </c>
      <c r="G136" s="5">
        <v>0</v>
      </c>
    </row>
    <row r="137" spans="1:16" ht="15.75" thickBot="1" x14ac:dyDescent="0.3">
      <c r="A137" s="4">
        <v>45717</v>
      </c>
      <c r="B137" s="5">
        <v>0.114272489241729</v>
      </c>
      <c r="C137" s="5">
        <v>0.41239267140000002</v>
      </c>
      <c r="D137" s="5">
        <v>0.51082689199999998</v>
      </c>
      <c r="E137" s="5">
        <v>0.45</v>
      </c>
      <c r="F137" s="2">
        <v>3259742213</v>
      </c>
      <c r="G137" s="5">
        <v>0</v>
      </c>
    </row>
    <row r="138" spans="1:16" ht="15.75" thickBot="1" x14ac:dyDescent="0.3">
      <c r="A138" s="4">
        <v>45718</v>
      </c>
      <c r="B138" s="5">
        <v>0.100928868128817</v>
      </c>
      <c r="C138" s="5">
        <v>0.4249752342</v>
      </c>
      <c r="D138" s="5">
        <v>0.4939184727</v>
      </c>
      <c r="E138" s="5">
        <v>0.45</v>
      </c>
      <c r="F138" s="2">
        <v>3220706191</v>
      </c>
      <c r="G138" s="5">
        <v>0</v>
      </c>
    </row>
    <row r="139" spans="1:16" ht="15.75" thickBot="1" x14ac:dyDescent="0.3">
      <c r="A139" s="4">
        <v>45719</v>
      </c>
      <c r="B139" s="5">
        <v>0.102669737596845</v>
      </c>
      <c r="C139" s="5">
        <v>0.40085865549999999</v>
      </c>
      <c r="D139" s="5">
        <v>0.46069174699999998</v>
      </c>
      <c r="E139" s="5">
        <v>0.43</v>
      </c>
      <c r="F139" s="2">
        <v>3225799008</v>
      </c>
      <c r="G139" s="5">
        <v>0</v>
      </c>
    </row>
    <row r="140" spans="1:16" ht="15.75" thickBot="1" x14ac:dyDescent="0.3">
      <c r="A140" s="4">
        <v>45720</v>
      </c>
      <c r="B140" s="5">
        <v>0.100636427792302</v>
      </c>
      <c r="C140" s="5">
        <v>0.39666446789999998</v>
      </c>
      <c r="D140" s="5">
        <v>0.48343402959999998</v>
      </c>
      <c r="E140" s="5">
        <v>0.42</v>
      </c>
      <c r="F140" s="2">
        <v>3219850673</v>
      </c>
      <c r="G140" s="5">
        <v>0</v>
      </c>
    </row>
    <row r="141" spans="1:16" ht="15.75" thickBot="1" x14ac:dyDescent="0.3">
      <c r="A141" s="4">
        <v>45721</v>
      </c>
      <c r="B141" s="5">
        <v>0.11630256825546501</v>
      </c>
      <c r="C141" s="5">
        <v>0.38617899890000001</v>
      </c>
      <c r="D141" s="5">
        <v>0.45140893300000001</v>
      </c>
      <c r="E141" s="5">
        <v>0.39</v>
      </c>
      <c r="F141" s="2">
        <v>3265681096</v>
      </c>
      <c r="G141" s="5">
        <v>0</v>
      </c>
    </row>
    <row r="142" spans="1:16" ht="15.75" thickBot="1" x14ac:dyDescent="0.3">
      <c r="A142" s="4">
        <v>45722</v>
      </c>
      <c r="B142" s="5">
        <v>0.113856409206126</v>
      </c>
      <c r="C142" s="5">
        <v>0.38617899890000001</v>
      </c>
      <c r="D142" s="5">
        <v>0.45140893300000001</v>
      </c>
      <c r="E142" s="5">
        <v>0.4</v>
      </c>
      <c r="F142" s="2">
        <v>3258524993</v>
      </c>
      <c r="G142" s="5">
        <v>0</v>
      </c>
    </row>
    <row r="143" spans="1:16" ht="15.75" thickBot="1" x14ac:dyDescent="0.3">
      <c r="A143" s="4">
        <v>45723</v>
      </c>
      <c r="B143" s="5">
        <v>0.113856409206126</v>
      </c>
      <c r="C143" s="5">
        <v>0.38617899890000001</v>
      </c>
      <c r="D143" s="5">
        <v>0.45140893300000001</v>
      </c>
      <c r="E143" s="5">
        <v>0.4</v>
      </c>
      <c r="F143" s="2">
        <v>3258524993</v>
      </c>
      <c r="G143" s="5">
        <v>0</v>
      </c>
    </row>
    <row r="144" spans="1:16" ht="15.75" thickBot="1" x14ac:dyDescent="0.3">
      <c r="A144" s="4">
        <v>45724</v>
      </c>
      <c r="B144" s="5">
        <v>0.10746145996641999</v>
      </c>
      <c r="C144" s="5">
        <v>0.36835370169999998</v>
      </c>
      <c r="D144" s="5">
        <v>0.51149955970000005</v>
      </c>
      <c r="E144" s="5">
        <v>0.44</v>
      </c>
      <c r="F144" s="2">
        <v>4239816925</v>
      </c>
      <c r="G144" s="5">
        <v>1000000000</v>
      </c>
      <c r="H144">
        <v>0.7</v>
      </c>
      <c r="I144">
        <v>0.02</v>
      </c>
      <c r="J144">
        <f>(1+I144)^(K144/365)-1</f>
        <v>1.2172075481138078E-2</v>
      </c>
      <c r="K144" s="6">
        <f>A367-A144</f>
        <v>223</v>
      </c>
      <c r="L144" s="6">
        <f>J144*G144</f>
        <v>12172075.481138078</v>
      </c>
      <c r="M144" s="8">
        <f>(1+B367)/(1+B144)-1</f>
        <v>0.57305143191383023</v>
      </c>
      <c r="N144">
        <f>(1+H144)^(K144/365)-1</f>
        <v>0.38291287661530893</v>
      </c>
      <c r="O144">
        <f>MIN(0.25*M144,M144-N144)</f>
        <v>0.14326285797845756</v>
      </c>
      <c r="P144" s="6">
        <f>O144*G144</f>
        <v>143262857.97845757</v>
      </c>
    </row>
    <row r="145" spans="1:7" ht="15.75" thickBot="1" x14ac:dyDescent="0.3">
      <c r="A145" s="4">
        <v>45725</v>
      </c>
      <c r="B145" s="5">
        <v>9.3136763661643807E-2</v>
      </c>
      <c r="C145" s="5">
        <v>0.3526254982</v>
      </c>
      <c r="D145" s="5">
        <v>0.55714006159999996</v>
      </c>
      <c r="E145" s="5">
        <v>0.45</v>
      </c>
      <c r="F145" s="2">
        <v>4184976109</v>
      </c>
      <c r="G145" s="5">
        <v>0</v>
      </c>
    </row>
    <row r="146" spans="1:7" ht="15.75" thickBot="1" x14ac:dyDescent="0.3">
      <c r="A146" s="4">
        <v>45726</v>
      </c>
      <c r="B146" s="5">
        <v>9.7312679962124504E-2</v>
      </c>
      <c r="C146" s="5">
        <v>0.35996532650000002</v>
      </c>
      <c r="D146" s="5">
        <v>0.55007705100000004</v>
      </c>
      <c r="E146" s="5">
        <v>0.46</v>
      </c>
      <c r="F146" s="2">
        <v>4200963231</v>
      </c>
      <c r="G146" s="5">
        <v>0</v>
      </c>
    </row>
    <row r="147" spans="1:7" ht="15.75" thickBot="1" x14ac:dyDescent="0.3">
      <c r="A147" s="4">
        <v>45727</v>
      </c>
      <c r="B147" s="5">
        <v>9.7205703274302599E-2</v>
      </c>
      <c r="C147" s="5">
        <v>0.34423712299999998</v>
      </c>
      <c r="D147" s="5">
        <v>0.53151753830000004</v>
      </c>
      <c r="E147" s="5">
        <v>0.46</v>
      </c>
      <c r="F147" s="2">
        <v>4200553680</v>
      </c>
      <c r="G147" s="5">
        <v>0</v>
      </c>
    </row>
    <row r="148" spans="1:7" ht="15.75" thickBot="1" x14ac:dyDescent="0.3">
      <c r="A148" s="4">
        <v>45728</v>
      </c>
      <c r="B148" s="5">
        <v>9.5944321064448598E-2</v>
      </c>
      <c r="C148" s="5">
        <v>0.33689729470000002</v>
      </c>
      <c r="D148" s="5">
        <v>0.52521892280000004</v>
      </c>
      <c r="E148" s="5">
        <v>0.46</v>
      </c>
      <c r="F148" s="2">
        <v>4195724591</v>
      </c>
      <c r="G148" s="5">
        <v>0</v>
      </c>
    </row>
    <row r="149" spans="1:7" ht="15.75" thickBot="1" x14ac:dyDescent="0.3">
      <c r="A149" s="4">
        <v>45729</v>
      </c>
      <c r="B149" s="5">
        <v>8.90510192819325E-2</v>
      </c>
      <c r="C149" s="5">
        <v>0.33689729470000002</v>
      </c>
      <c r="D149" s="5">
        <v>0.52521892280000004</v>
      </c>
      <c r="E149" s="5">
        <v>0.45</v>
      </c>
      <c r="F149" s="2">
        <v>4169334203</v>
      </c>
      <c r="G149" s="5">
        <v>0</v>
      </c>
    </row>
    <row r="150" spans="1:7" ht="15.75" thickBot="1" x14ac:dyDescent="0.3">
      <c r="A150" s="4">
        <v>45730</v>
      </c>
      <c r="B150" s="5">
        <v>8.90510192819325E-2</v>
      </c>
      <c r="C150" s="5">
        <v>0.33689729470000002</v>
      </c>
      <c r="D150" s="5">
        <v>0.52521892280000004</v>
      </c>
      <c r="E150" s="5">
        <v>0.45</v>
      </c>
      <c r="F150" s="2">
        <v>4169334203</v>
      </c>
      <c r="G150" s="5">
        <v>0</v>
      </c>
    </row>
    <row r="151" spans="1:7" ht="15.75" thickBot="1" x14ac:dyDescent="0.3">
      <c r="A151" s="4">
        <v>45731</v>
      </c>
      <c r="B151" s="5">
        <v>0.103956874982309</v>
      </c>
      <c r="C151" s="5">
        <v>0.3767420769</v>
      </c>
      <c r="D151" s="5">
        <v>0.52605058459999998</v>
      </c>
      <c r="E151" s="5">
        <v>0.44</v>
      </c>
      <c r="F151" s="2">
        <v>4226399936</v>
      </c>
      <c r="G151" s="5">
        <v>0</v>
      </c>
    </row>
    <row r="152" spans="1:7" ht="15.75" thickBot="1" x14ac:dyDescent="0.3">
      <c r="A152" s="4">
        <v>45732</v>
      </c>
      <c r="B152" s="5">
        <v>8.3388516399476101E-2</v>
      </c>
      <c r="C152" s="5">
        <v>0.37254788929999999</v>
      </c>
      <c r="D152" s="5">
        <v>0.57387419890000002</v>
      </c>
      <c r="E152" s="5">
        <v>0.47</v>
      </c>
      <c r="F152" s="2">
        <v>4147655819</v>
      </c>
      <c r="G152" s="5">
        <v>0</v>
      </c>
    </row>
    <row r="153" spans="1:7" ht="15.75" thickBot="1" x14ac:dyDescent="0.3">
      <c r="A153" s="4">
        <v>45733</v>
      </c>
      <c r="B153" s="5">
        <v>8.3360364999060202E-2</v>
      </c>
      <c r="C153" s="5">
        <v>0.36520806099999997</v>
      </c>
      <c r="D153" s="5">
        <v>0.65938860619999995</v>
      </c>
      <c r="E153" s="5">
        <v>0.5</v>
      </c>
      <c r="F153" s="2">
        <v>4147548043</v>
      </c>
      <c r="G153" s="5">
        <v>0</v>
      </c>
    </row>
    <row r="154" spans="1:7" ht="15.75" thickBot="1" x14ac:dyDescent="0.3">
      <c r="A154" s="4">
        <v>45734</v>
      </c>
      <c r="B154" s="5">
        <v>9.6276898334346897E-2</v>
      </c>
      <c r="C154" s="5">
        <v>0.34423712299999998</v>
      </c>
      <c r="D154" s="5">
        <v>0.77033902450000002</v>
      </c>
      <c r="E154" s="5">
        <v>0.54</v>
      </c>
      <c r="F154" s="2">
        <v>4196997833</v>
      </c>
      <c r="G154" s="5">
        <v>0</v>
      </c>
    </row>
    <row r="155" spans="1:7" ht="15.75" thickBot="1" x14ac:dyDescent="0.3">
      <c r="A155" s="4">
        <v>45735</v>
      </c>
      <c r="B155" s="5">
        <v>9.6276898334346897E-2</v>
      </c>
      <c r="C155" s="5">
        <v>0.34423712299999998</v>
      </c>
      <c r="D155" s="5">
        <v>0.77033902450000002</v>
      </c>
      <c r="E155" s="5">
        <v>0.54</v>
      </c>
      <c r="F155" s="2">
        <v>4196997833</v>
      </c>
      <c r="G155" s="5">
        <v>0</v>
      </c>
    </row>
    <row r="156" spans="1:7" ht="15.75" thickBot="1" x14ac:dyDescent="0.3">
      <c r="A156" s="4">
        <v>45736</v>
      </c>
      <c r="B156" s="5">
        <v>9.6276898334346897E-2</v>
      </c>
      <c r="C156" s="5">
        <v>0.34423712299999998</v>
      </c>
      <c r="D156" s="5">
        <v>0.77033902450000002</v>
      </c>
      <c r="E156" s="5">
        <v>0.54</v>
      </c>
      <c r="F156" s="2">
        <v>4196997833</v>
      </c>
      <c r="G156" s="5">
        <v>0</v>
      </c>
    </row>
    <row r="157" spans="1:7" ht="15.75" thickBot="1" x14ac:dyDescent="0.3">
      <c r="A157" s="4">
        <v>45737</v>
      </c>
      <c r="B157" s="5">
        <v>9.6276898334346897E-2</v>
      </c>
      <c r="C157" s="5">
        <v>0.34423712299999998</v>
      </c>
      <c r="D157" s="5">
        <v>0.77033902450000002</v>
      </c>
      <c r="E157" s="5">
        <v>0.54</v>
      </c>
      <c r="F157" s="2">
        <v>4196997833</v>
      </c>
      <c r="G157" s="5">
        <v>0</v>
      </c>
    </row>
    <row r="158" spans="1:7" ht="15.75" thickBot="1" x14ac:dyDescent="0.3">
      <c r="A158" s="4">
        <v>45738</v>
      </c>
      <c r="B158" s="5">
        <v>9.6276898334346897E-2</v>
      </c>
      <c r="C158" s="5">
        <v>0.34423712299999998</v>
      </c>
      <c r="D158" s="5">
        <v>0.77033902450000002</v>
      </c>
      <c r="E158" s="5">
        <v>0.54</v>
      </c>
      <c r="F158" s="2">
        <v>4196997833</v>
      </c>
      <c r="G158" s="5">
        <v>0</v>
      </c>
    </row>
    <row r="159" spans="1:7" ht="15.75" thickBot="1" x14ac:dyDescent="0.3">
      <c r="A159" s="4">
        <v>45739</v>
      </c>
      <c r="B159" s="5">
        <v>9.6276898334346897E-2</v>
      </c>
      <c r="C159" s="5">
        <v>0.34423712299999998</v>
      </c>
      <c r="D159" s="5">
        <v>0.77033902450000002</v>
      </c>
      <c r="E159" s="5">
        <v>0.54</v>
      </c>
      <c r="F159" s="2">
        <v>4196997833</v>
      </c>
      <c r="G159" s="5">
        <v>0</v>
      </c>
    </row>
    <row r="160" spans="1:7" ht="15.75" thickBot="1" x14ac:dyDescent="0.3">
      <c r="A160" s="4">
        <v>45740</v>
      </c>
      <c r="B160" s="5">
        <v>9.6276898334346897E-2</v>
      </c>
      <c r="C160" s="5">
        <v>0.34423712299999998</v>
      </c>
      <c r="D160" s="5">
        <v>0.77033902450000002</v>
      </c>
      <c r="E160" s="5">
        <v>0.54</v>
      </c>
      <c r="F160" s="2">
        <v>4196997833</v>
      </c>
      <c r="G160" s="5">
        <v>0</v>
      </c>
    </row>
    <row r="161" spans="1:7" ht="15.75" thickBot="1" x14ac:dyDescent="0.3">
      <c r="A161" s="4">
        <v>45741</v>
      </c>
      <c r="B161" s="5">
        <v>8.1062989394038901E-2</v>
      </c>
      <c r="C161" s="5">
        <v>0.3819848113</v>
      </c>
      <c r="D161" s="5">
        <v>0.74382674530000004</v>
      </c>
      <c r="E161" s="5">
        <v>0.61</v>
      </c>
      <c r="F161" s="2">
        <v>4138752747</v>
      </c>
      <c r="G161" s="5">
        <v>0</v>
      </c>
    </row>
    <row r="162" spans="1:7" ht="15.75" thickBot="1" x14ac:dyDescent="0.3">
      <c r="A162" s="4">
        <v>45742</v>
      </c>
      <c r="B162" s="5">
        <v>8.4767025854635997E-2</v>
      </c>
      <c r="C162" s="5">
        <v>0.39247028029999997</v>
      </c>
      <c r="D162" s="5">
        <v>0.81224010570000005</v>
      </c>
      <c r="E162" s="5">
        <v>0.6</v>
      </c>
      <c r="F162" s="2">
        <v>4152933318</v>
      </c>
      <c r="G162" s="5">
        <v>0</v>
      </c>
    </row>
    <row r="163" spans="1:7" ht="15.75" thickBot="1" x14ac:dyDescent="0.3">
      <c r="A163" s="4">
        <v>45743</v>
      </c>
      <c r="B163" s="5">
        <v>5.0806982563710697E-2</v>
      </c>
      <c r="C163" s="5">
        <v>0.39247028029999997</v>
      </c>
      <c r="D163" s="5">
        <v>0.81224010570000005</v>
      </c>
      <c r="E163" s="5">
        <v>0.61</v>
      </c>
      <c r="F163" s="2">
        <v>4022920337</v>
      </c>
      <c r="G163" s="5">
        <v>0</v>
      </c>
    </row>
    <row r="164" spans="1:7" ht="15.75" thickBot="1" x14ac:dyDescent="0.3">
      <c r="A164" s="4">
        <v>45744</v>
      </c>
      <c r="B164" s="5">
        <v>5.0806982563710697E-2</v>
      </c>
      <c r="C164" s="5">
        <v>0.39247028029999997</v>
      </c>
      <c r="D164" s="5">
        <v>0.81224010570000005</v>
      </c>
      <c r="E164" s="5">
        <v>0.61</v>
      </c>
      <c r="F164" s="2">
        <v>4022920337</v>
      </c>
      <c r="G164" s="5">
        <v>0</v>
      </c>
    </row>
    <row r="165" spans="1:7" ht="15.75" thickBot="1" x14ac:dyDescent="0.3">
      <c r="A165" s="4">
        <v>45745</v>
      </c>
      <c r="B165" s="5">
        <v>8.7012004810796295E-2</v>
      </c>
      <c r="C165" s="5">
        <v>0.41344121830000002</v>
      </c>
      <c r="D165" s="5">
        <v>0.92607076460000004</v>
      </c>
      <c r="E165" s="5">
        <v>0.64</v>
      </c>
      <c r="F165" s="2">
        <v>4161528019</v>
      </c>
      <c r="G165" s="5">
        <v>0</v>
      </c>
    </row>
    <row r="166" spans="1:7" ht="15.75" thickBot="1" x14ac:dyDescent="0.3">
      <c r="A166" s="4">
        <v>45746</v>
      </c>
      <c r="B166" s="5">
        <v>8.5912687706084304E-2</v>
      </c>
      <c r="C166" s="5">
        <v>0.44489762519999998</v>
      </c>
      <c r="D166" s="5">
        <v>0.87652879019999996</v>
      </c>
      <c r="E166" s="5">
        <v>0.62</v>
      </c>
      <c r="F166" s="2">
        <v>4157319382</v>
      </c>
      <c r="G166" s="5">
        <v>0</v>
      </c>
    </row>
    <row r="167" spans="1:7" ht="15.75" thickBot="1" x14ac:dyDescent="0.3">
      <c r="A167" s="4">
        <v>45747</v>
      </c>
      <c r="B167" s="5">
        <v>8.5912687706084304E-2</v>
      </c>
      <c r="C167" s="5">
        <v>0.44489762519999998</v>
      </c>
      <c r="D167" s="5">
        <v>0.87652879019999996</v>
      </c>
      <c r="E167" s="5">
        <v>0.62</v>
      </c>
      <c r="F167" s="2">
        <v>4157319382</v>
      </c>
      <c r="G167" s="5">
        <v>0</v>
      </c>
    </row>
    <row r="168" spans="1:7" ht="15.75" thickBot="1" x14ac:dyDescent="0.3">
      <c r="A168" s="4">
        <v>45748</v>
      </c>
      <c r="B168" s="5">
        <v>8.5912687706084304E-2</v>
      </c>
      <c r="C168" s="5">
        <v>0.44489762519999998</v>
      </c>
      <c r="D168" s="5">
        <v>0.87652879019999996</v>
      </c>
      <c r="E168" s="5">
        <v>0.62</v>
      </c>
      <c r="F168" s="2">
        <v>4157319382</v>
      </c>
      <c r="G168" s="5">
        <v>0</v>
      </c>
    </row>
    <row r="169" spans="1:7" ht="15.75" thickBot="1" x14ac:dyDescent="0.3">
      <c r="A169" s="4">
        <v>45749</v>
      </c>
      <c r="B169" s="5">
        <v>8.5912687706084304E-2</v>
      </c>
      <c r="C169" s="5">
        <v>0.44489762519999998</v>
      </c>
      <c r="D169" s="5">
        <v>0.87652879019999996</v>
      </c>
      <c r="E169" s="5">
        <v>0.62</v>
      </c>
      <c r="F169" s="2">
        <v>4157319382</v>
      </c>
      <c r="G169" s="5">
        <v>0</v>
      </c>
    </row>
    <row r="170" spans="1:7" ht="15.75" thickBot="1" x14ac:dyDescent="0.3">
      <c r="A170" s="4">
        <v>45750</v>
      </c>
      <c r="B170" s="5">
        <v>8.5912687706084304E-2</v>
      </c>
      <c r="C170" s="5">
        <v>0.44489762519999998</v>
      </c>
      <c r="D170" s="5">
        <v>0.87652879019999996</v>
      </c>
      <c r="E170" s="5">
        <v>0.64</v>
      </c>
      <c r="F170" s="2">
        <v>4157319382</v>
      </c>
      <c r="G170" s="5">
        <v>0</v>
      </c>
    </row>
    <row r="171" spans="1:7" ht="15.75" thickBot="1" x14ac:dyDescent="0.3">
      <c r="A171" s="4">
        <v>45751</v>
      </c>
      <c r="B171" s="5">
        <v>8.5912687706084304E-2</v>
      </c>
      <c r="C171" s="5">
        <v>0.44489762519999998</v>
      </c>
      <c r="D171" s="5">
        <v>0.87652879019999996</v>
      </c>
      <c r="E171" s="5">
        <v>0.64</v>
      </c>
      <c r="F171" s="2">
        <v>4157319382</v>
      </c>
      <c r="G171" s="5">
        <v>0</v>
      </c>
    </row>
    <row r="172" spans="1:7" ht="15.75" thickBot="1" x14ac:dyDescent="0.3">
      <c r="A172" s="4">
        <v>45752</v>
      </c>
      <c r="B172" s="5">
        <v>6.0458337706089403E-2</v>
      </c>
      <c r="C172" s="5">
        <v>0.4312665155</v>
      </c>
      <c r="D172" s="5">
        <v>0.77590076320000001</v>
      </c>
      <c r="E172" s="5">
        <v>0.61</v>
      </c>
      <c r="F172" s="2">
        <v>4059869685</v>
      </c>
      <c r="G172" s="5">
        <v>0</v>
      </c>
    </row>
    <row r="173" spans="1:7" ht="15.75" thickBot="1" x14ac:dyDescent="0.3">
      <c r="A173" s="4">
        <v>45753</v>
      </c>
      <c r="B173" s="5">
        <v>6.7535159840989706E-2</v>
      </c>
      <c r="C173" s="5">
        <v>0.39142173340000003</v>
      </c>
      <c r="D173" s="5">
        <v>0.80876363679999996</v>
      </c>
      <c r="E173" s="5">
        <v>0.64</v>
      </c>
      <c r="F173" s="2">
        <v>4086962664</v>
      </c>
      <c r="G173" s="5">
        <v>0</v>
      </c>
    </row>
    <row r="174" spans="1:7" ht="15.75" thickBot="1" x14ac:dyDescent="0.3">
      <c r="A174" s="4">
        <v>45754</v>
      </c>
      <c r="B174" s="5">
        <v>5.5375196245782903E-2</v>
      </c>
      <c r="C174" s="5">
        <v>0.38513045200000001</v>
      </c>
      <c r="D174" s="5">
        <v>0.85160339510000005</v>
      </c>
      <c r="E174" s="5">
        <v>0.66</v>
      </c>
      <c r="F174" s="2">
        <v>4040409333</v>
      </c>
      <c r="G174" s="5">
        <v>0</v>
      </c>
    </row>
    <row r="175" spans="1:7" ht="15.75" thickBot="1" x14ac:dyDescent="0.3">
      <c r="A175" s="4">
        <v>45755</v>
      </c>
      <c r="B175" s="5">
        <v>3.8555892386679301E-2</v>
      </c>
      <c r="C175" s="5">
        <v>0.4260237811</v>
      </c>
      <c r="D175" s="5">
        <v>0.67009931020000002</v>
      </c>
      <c r="E175" s="5">
        <v>0.56000000000000005</v>
      </c>
      <c r="F175" s="2">
        <v>3976018136</v>
      </c>
      <c r="G175" s="5">
        <v>0</v>
      </c>
    </row>
    <row r="176" spans="1:7" ht="15.75" thickBot="1" x14ac:dyDescent="0.3">
      <c r="A176" s="4">
        <v>45756</v>
      </c>
      <c r="B176" s="5">
        <v>8.2038473058398106E-2</v>
      </c>
      <c r="C176" s="5">
        <v>0.41658685899999998</v>
      </c>
      <c r="D176" s="5">
        <v>0.64192064969999996</v>
      </c>
      <c r="E176" s="5">
        <v>0.56000000000000005</v>
      </c>
      <c r="F176" s="2">
        <v>4142487299</v>
      </c>
      <c r="G176" s="5">
        <v>0</v>
      </c>
    </row>
    <row r="177" spans="1:7" ht="15.75" thickBot="1" x14ac:dyDescent="0.3">
      <c r="A177" s="4">
        <v>45757</v>
      </c>
      <c r="B177" s="5">
        <v>0.135809082406181</v>
      </c>
      <c r="C177" s="5">
        <v>0.41658685899999998</v>
      </c>
      <c r="D177" s="5">
        <v>0.64192064969999996</v>
      </c>
      <c r="E177" s="5">
        <v>0.56999999999999995</v>
      </c>
      <c r="F177" s="2">
        <v>4348343256</v>
      </c>
      <c r="G177" s="5">
        <v>0</v>
      </c>
    </row>
    <row r="178" spans="1:7" ht="15.75" thickBot="1" x14ac:dyDescent="0.3">
      <c r="A178" s="4">
        <v>45758</v>
      </c>
      <c r="B178" s="5">
        <v>0.135809082406181</v>
      </c>
      <c r="C178" s="5">
        <v>0.41658685899999998</v>
      </c>
      <c r="D178" s="5">
        <v>0.64192064969999996</v>
      </c>
      <c r="E178" s="5">
        <v>0.56999999999999995</v>
      </c>
      <c r="F178" s="2">
        <v>4348343256</v>
      </c>
      <c r="G178" s="5">
        <v>0</v>
      </c>
    </row>
    <row r="179" spans="1:7" ht="15.75" thickBot="1" x14ac:dyDescent="0.3">
      <c r="A179" s="4">
        <v>45759</v>
      </c>
      <c r="B179" s="5">
        <v>0.15359462621477199</v>
      </c>
      <c r="C179" s="5">
        <v>0.43441215620000001</v>
      </c>
      <c r="D179" s="5">
        <v>0.5623226603</v>
      </c>
      <c r="E179" s="5">
        <v>0.48</v>
      </c>
      <c r="F179" s="2">
        <v>4416433617</v>
      </c>
      <c r="G179" s="5">
        <v>0</v>
      </c>
    </row>
    <row r="180" spans="1:7" ht="15.75" thickBot="1" x14ac:dyDescent="0.3">
      <c r="A180" s="4">
        <v>45760</v>
      </c>
      <c r="B180" s="5">
        <v>0.13973598621497499</v>
      </c>
      <c r="C180" s="5">
        <v>0.47740257899999999</v>
      </c>
      <c r="D180" s="5">
        <v>0.41419512250000001</v>
      </c>
      <c r="E180" s="5">
        <v>0.33</v>
      </c>
      <c r="F180" s="2">
        <v>4363377056</v>
      </c>
      <c r="G180" s="5">
        <v>0</v>
      </c>
    </row>
    <row r="181" spans="1:7" ht="15.75" thickBot="1" x14ac:dyDescent="0.3">
      <c r="A181" s="4">
        <v>45761</v>
      </c>
      <c r="B181" s="5">
        <v>0.189442396875457</v>
      </c>
      <c r="C181" s="5">
        <v>0.48683950110000002</v>
      </c>
      <c r="D181" s="5">
        <v>0.44606734009999999</v>
      </c>
      <c r="E181" s="5">
        <v>0.4</v>
      </c>
      <c r="F181" s="2">
        <v>4553673593</v>
      </c>
      <c r="G181" s="5">
        <v>0</v>
      </c>
    </row>
    <row r="182" spans="1:7" ht="15.75" thickBot="1" x14ac:dyDescent="0.3">
      <c r="A182" s="4">
        <v>45762</v>
      </c>
      <c r="B182" s="5">
        <v>0.24903258592750699</v>
      </c>
      <c r="C182" s="5">
        <v>0.48998514180000002</v>
      </c>
      <c r="D182" s="5">
        <v>0.49113301700000001</v>
      </c>
      <c r="E182" s="5">
        <v>0.38</v>
      </c>
      <c r="F182" s="2">
        <v>4781809290</v>
      </c>
      <c r="G182" s="5">
        <v>0</v>
      </c>
    </row>
    <row r="183" spans="1:7" ht="15.75" thickBot="1" x14ac:dyDescent="0.3">
      <c r="A183" s="4">
        <v>45763</v>
      </c>
      <c r="B183" s="5">
        <v>0.25019075817659298</v>
      </c>
      <c r="C183" s="5">
        <v>0.50676189220000001</v>
      </c>
      <c r="D183" s="5">
        <v>0.45922716600000002</v>
      </c>
      <c r="E183" s="5">
        <v>0.38</v>
      </c>
      <c r="F183" s="2">
        <v>4786243249</v>
      </c>
      <c r="G183" s="5">
        <v>0</v>
      </c>
    </row>
    <row r="184" spans="1:7" ht="15.75" thickBot="1" x14ac:dyDescent="0.3">
      <c r="A184" s="4">
        <v>45764</v>
      </c>
      <c r="B184" s="5">
        <v>0.28637101176822</v>
      </c>
      <c r="C184" s="5">
        <v>0.50676189220000001</v>
      </c>
      <c r="D184" s="5">
        <v>0.45922716600000002</v>
      </c>
      <c r="E184" s="5">
        <v>0.33</v>
      </c>
      <c r="F184" s="2">
        <v>4924756106</v>
      </c>
      <c r="G184" s="5">
        <v>0</v>
      </c>
    </row>
    <row r="185" spans="1:7" ht="15.75" thickBot="1" x14ac:dyDescent="0.3">
      <c r="A185" s="4">
        <v>45765</v>
      </c>
      <c r="B185" s="5">
        <v>0.28637101176822</v>
      </c>
      <c r="C185" s="5">
        <v>0.50676189220000001</v>
      </c>
      <c r="D185" s="5">
        <v>0.45922716600000002</v>
      </c>
      <c r="E185" s="5">
        <v>0.33</v>
      </c>
      <c r="F185" s="2">
        <v>4924756106</v>
      </c>
      <c r="G185" s="5">
        <v>0</v>
      </c>
    </row>
    <row r="186" spans="1:7" ht="15.75" thickBot="1" x14ac:dyDescent="0.3">
      <c r="A186" s="4">
        <v>45766</v>
      </c>
      <c r="B186" s="5">
        <v>0.28153632810566398</v>
      </c>
      <c r="C186" s="5">
        <v>0.54346103359999998</v>
      </c>
      <c r="D186" s="5">
        <v>0.39723472430000001</v>
      </c>
      <c r="E186" s="5">
        <v>0.33</v>
      </c>
      <c r="F186" s="2">
        <v>4906246953</v>
      </c>
      <c r="G186" s="5">
        <v>0</v>
      </c>
    </row>
    <row r="187" spans="1:7" ht="15.75" thickBot="1" x14ac:dyDescent="0.3">
      <c r="A187" s="4">
        <v>45767</v>
      </c>
      <c r="B187" s="5">
        <v>0.255365910518356</v>
      </c>
      <c r="C187" s="5">
        <v>0.58959709709999997</v>
      </c>
      <c r="D187" s="5">
        <v>0.29843818799999999</v>
      </c>
      <c r="E187" s="5">
        <v>0.33</v>
      </c>
      <c r="F187" s="2">
        <v>4806055856</v>
      </c>
      <c r="G187" s="5">
        <v>0</v>
      </c>
    </row>
    <row r="188" spans="1:7" ht="15.75" thickBot="1" x14ac:dyDescent="0.3">
      <c r="A188" s="4">
        <v>45768</v>
      </c>
      <c r="B188" s="5">
        <v>0.25908742728397899</v>
      </c>
      <c r="C188" s="5">
        <v>0.63468461369999996</v>
      </c>
      <c r="D188" s="5">
        <v>0.3485519299</v>
      </c>
      <c r="E188" s="5">
        <v>0.33</v>
      </c>
      <c r="F188" s="2">
        <v>4820303349</v>
      </c>
      <c r="G188" s="5">
        <v>0</v>
      </c>
    </row>
    <row r="189" spans="1:7" ht="15.75" thickBot="1" x14ac:dyDescent="0.3">
      <c r="A189" s="4">
        <v>45769</v>
      </c>
      <c r="B189" s="5">
        <v>0.26638116753797803</v>
      </c>
      <c r="C189" s="5">
        <v>0.59903401919999999</v>
      </c>
      <c r="D189" s="5">
        <v>0.31559427130000001</v>
      </c>
      <c r="E189" s="5">
        <v>0.33</v>
      </c>
      <c r="F189" s="2">
        <v>4848226780</v>
      </c>
      <c r="G189" s="5">
        <v>0</v>
      </c>
    </row>
    <row r="190" spans="1:7" ht="15.75" thickBot="1" x14ac:dyDescent="0.3">
      <c r="A190" s="4">
        <v>45770</v>
      </c>
      <c r="B190" s="5">
        <v>0.24012120513462301</v>
      </c>
      <c r="C190" s="5">
        <v>0.56443197160000003</v>
      </c>
      <c r="D190" s="5">
        <v>0.31815040849999998</v>
      </c>
      <c r="E190" s="5">
        <v>0.33</v>
      </c>
      <c r="F190" s="2">
        <v>4747692868</v>
      </c>
      <c r="G190" s="5">
        <v>0</v>
      </c>
    </row>
    <row r="191" spans="1:7" ht="15.75" thickBot="1" x14ac:dyDescent="0.3">
      <c r="A191" s="4">
        <v>45771</v>
      </c>
      <c r="B191" s="5">
        <v>0.24012120513462301</v>
      </c>
      <c r="C191" s="5">
        <v>0.56443197160000003</v>
      </c>
      <c r="D191" s="5">
        <v>0.31815040849999998</v>
      </c>
      <c r="E191" s="5">
        <v>0.33</v>
      </c>
      <c r="F191" s="2">
        <v>4747692868</v>
      </c>
      <c r="G191" s="5">
        <v>0</v>
      </c>
    </row>
    <row r="192" spans="1:7" ht="15.75" thickBot="1" x14ac:dyDescent="0.3">
      <c r="A192" s="4">
        <v>45772</v>
      </c>
      <c r="B192" s="5">
        <v>0.24012120513462301</v>
      </c>
      <c r="C192" s="5">
        <v>0.56443197160000003</v>
      </c>
      <c r="D192" s="5">
        <v>0.31815040849999998</v>
      </c>
      <c r="E192" s="5">
        <v>0.33</v>
      </c>
      <c r="F192" s="2">
        <v>4747692868</v>
      </c>
      <c r="G192" s="5">
        <v>0</v>
      </c>
    </row>
    <row r="193" spans="1:7" ht="15.75" thickBot="1" x14ac:dyDescent="0.3">
      <c r="A193" s="4">
        <v>45773</v>
      </c>
      <c r="B193" s="5">
        <v>0.23194177851368999</v>
      </c>
      <c r="C193" s="5">
        <v>0.58854855019999996</v>
      </c>
      <c r="D193" s="5">
        <v>0.31815040849999998</v>
      </c>
      <c r="E193" s="5">
        <v>0.33</v>
      </c>
      <c r="F193" s="2">
        <v>4716378666</v>
      </c>
      <c r="G193" s="5">
        <v>0</v>
      </c>
    </row>
    <row r="194" spans="1:7" ht="15.75" thickBot="1" x14ac:dyDescent="0.3">
      <c r="A194" s="4">
        <v>45774</v>
      </c>
      <c r="B194" s="5">
        <v>0.24107844155444499</v>
      </c>
      <c r="C194" s="5">
        <v>0.58854855019999996</v>
      </c>
      <c r="D194" s="5">
        <v>0.31815040849999998</v>
      </c>
      <c r="E194" s="5">
        <v>0.3</v>
      </c>
      <c r="F194" s="2">
        <v>4751357561</v>
      </c>
      <c r="G194" s="5">
        <v>0</v>
      </c>
    </row>
    <row r="195" spans="1:7" ht="15.75" thickBot="1" x14ac:dyDescent="0.3">
      <c r="A195" s="4">
        <v>45775</v>
      </c>
      <c r="B195" s="5">
        <v>0.23703777001756801</v>
      </c>
      <c r="C195" s="5">
        <v>0.58854855019999996</v>
      </c>
      <c r="D195" s="5">
        <v>0.31815040849999998</v>
      </c>
      <c r="E195" s="5">
        <v>0.3</v>
      </c>
      <c r="F195" s="2">
        <v>4735888213</v>
      </c>
      <c r="G195" s="5">
        <v>0</v>
      </c>
    </row>
    <row r="196" spans="1:7" ht="15.75" thickBot="1" x14ac:dyDescent="0.3">
      <c r="A196" s="4">
        <v>45776</v>
      </c>
      <c r="B196" s="5">
        <v>0.24676975870704199</v>
      </c>
      <c r="C196" s="5">
        <v>0.56862615920000004</v>
      </c>
      <c r="D196" s="5">
        <v>0.36987855289999999</v>
      </c>
      <c r="E196" s="5">
        <v>0.27</v>
      </c>
      <c r="F196" s="2">
        <v>4773146259</v>
      </c>
      <c r="G196" s="5">
        <v>0</v>
      </c>
    </row>
    <row r="197" spans="1:7" ht="15.75" thickBot="1" x14ac:dyDescent="0.3">
      <c r="A197" s="4">
        <v>45777</v>
      </c>
      <c r="B197" s="5">
        <v>0.26227901691222599</v>
      </c>
      <c r="C197" s="5">
        <v>0.58435436259999995</v>
      </c>
      <c r="D197" s="5">
        <v>0.39294188149999998</v>
      </c>
      <c r="E197" s="5">
        <v>0.28000000000000003</v>
      </c>
      <c r="F197" s="2">
        <v>4832522064</v>
      </c>
      <c r="G197" s="5">
        <v>0</v>
      </c>
    </row>
    <row r="198" spans="1:7" ht="15.75" thickBot="1" x14ac:dyDescent="0.3">
      <c r="A198" s="4">
        <v>45778</v>
      </c>
      <c r="B198" s="5">
        <v>0.27617161404712698</v>
      </c>
      <c r="C198" s="5">
        <v>0.58435436259999995</v>
      </c>
      <c r="D198" s="5">
        <v>0.39294188149999998</v>
      </c>
      <c r="E198" s="5">
        <v>0.28000000000000003</v>
      </c>
      <c r="F198" s="2">
        <v>4885708627</v>
      </c>
      <c r="G198" s="5">
        <v>0</v>
      </c>
    </row>
    <row r="199" spans="1:7" ht="15.75" thickBot="1" x14ac:dyDescent="0.3">
      <c r="A199" s="4">
        <v>45779</v>
      </c>
      <c r="B199" s="5">
        <v>0.27617161404712698</v>
      </c>
      <c r="C199" s="5">
        <v>0.58435436259999995</v>
      </c>
      <c r="D199" s="5">
        <v>0.39294188149999998</v>
      </c>
      <c r="E199" s="5">
        <v>0.28000000000000003</v>
      </c>
      <c r="F199" s="2">
        <v>4885708627</v>
      </c>
      <c r="G199" s="5">
        <v>0</v>
      </c>
    </row>
    <row r="200" spans="1:7" ht="15.75" thickBot="1" x14ac:dyDescent="0.3">
      <c r="A200" s="4">
        <v>45780</v>
      </c>
      <c r="B200" s="5">
        <v>0.30401727933779399</v>
      </c>
      <c r="C200" s="5">
        <v>0.53716975219999996</v>
      </c>
      <c r="D200" s="5">
        <v>0.48523188690000002</v>
      </c>
      <c r="E200" s="5">
        <v>0.33</v>
      </c>
      <c r="F200" s="2">
        <v>4992313260</v>
      </c>
      <c r="G200" s="5">
        <v>0</v>
      </c>
    </row>
    <row r="201" spans="1:7" ht="15.75" thickBot="1" x14ac:dyDescent="0.3">
      <c r="A201" s="4">
        <v>45781</v>
      </c>
      <c r="B201" s="5">
        <v>0.29102784531145098</v>
      </c>
      <c r="C201" s="5">
        <v>0.5036162515</v>
      </c>
      <c r="D201" s="5">
        <v>0.51400983320000004</v>
      </c>
      <c r="E201" s="5">
        <v>0.37</v>
      </c>
      <c r="F201" s="2">
        <v>4942584376</v>
      </c>
      <c r="G201" s="5">
        <v>0</v>
      </c>
    </row>
    <row r="202" spans="1:7" ht="15.75" thickBot="1" x14ac:dyDescent="0.3">
      <c r="A202" s="4">
        <v>45782</v>
      </c>
      <c r="B202" s="5">
        <v>0.28779883558007902</v>
      </c>
      <c r="C202" s="5">
        <v>0.52353864260000005</v>
      </c>
      <c r="D202" s="5">
        <v>0.49105963499999999</v>
      </c>
      <c r="E202" s="5">
        <v>0.32</v>
      </c>
      <c r="F202" s="2">
        <v>4930222402</v>
      </c>
      <c r="G202" s="5">
        <v>0</v>
      </c>
    </row>
    <row r="203" spans="1:7" ht="15.75" thickBot="1" x14ac:dyDescent="0.3">
      <c r="A203" s="4">
        <v>45783</v>
      </c>
      <c r="B203" s="5">
        <v>0.28471068300366698</v>
      </c>
      <c r="C203" s="5">
        <v>0.53821829909999996</v>
      </c>
      <c r="D203" s="5">
        <v>0.44227899809999999</v>
      </c>
      <c r="E203" s="5">
        <v>0.3</v>
      </c>
      <c r="F203" s="2">
        <v>4918399687</v>
      </c>
      <c r="G203" s="5">
        <v>0</v>
      </c>
    </row>
    <row r="204" spans="1:7" ht="15.75" thickBot="1" x14ac:dyDescent="0.3">
      <c r="A204" s="4">
        <v>45784</v>
      </c>
      <c r="B204" s="5">
        <v>0.28926584402131</v>
      </c>
      <c r="C204" s="5">
        <v>0.53821829909999996</v>
      </c>
      <c r="D204" s="5">
        <v>0.44073491999999997</v>
      </c>
      <c r="E204" s="5">
        <v>0.27</v>
      </c>
      <c r="F204" s="2">
        <v>4935838712</v>
      </c>
      <c r="G204" s="5">
        <v>0</v>
      </c>
    </row>
    <row r="205" spans="1:7" ht="15.75" thickBot="1" x14ac:dyDescent="0.3">
      <c r="A205" s="4">
        <v>45785</v>
      </c>
      <c r="B205" s="5">
        <v>0.28390517755671302</v>
      </c>
      <c r="C205" s="5">
        <v>0.53821829909999996</v>
      </c>
      <c r="D205" s="5">
        <v>0.45070263199999999</v>
      </c>
      <c r="E205" s="5">
        <v>0.28000000000000003</v>
      </c>
      <c r="F205" s="2">
        <v>4915315881</v>
      </c>
      <c r="G205" s="5">
        <v>0</v>
      </c>
    </row>
    <row r="206" spans="1:7" ht="15.75" thickBot="1" x14ac:dyDescent="0.3">
      <c r="A206" s="4">
        <v>45786</v>
      </c>
      <c r="B206" s="5">
        <v>0.28390517755671302</v>
      </c>
      <c r="C206" s="5">
        <v>0.53821829909999996</v>
      </c>
      <c r="D206" s="5">
        <v>0.45070263199999999</v>
      </c>
      <c r="E206" s="5">
        <v>0.28000000000000003</v>
      </c>
      <c r="F206" s="2">
        <v>4915315881</v>
      </c>
      <c r="G206" s="5">
        <v>0</v>
      </c>
    </row>
    <row r="207" spans="1:7" ht="15.75" thickBot="1" x14ac:dyDescent="0.3">
      <c r="A207" s="4">
        <v>45787</v>
      </c>
      <c r="B207" s="5">
        <v>0.27165968144753599</v>
      </c>
      <c r="C207" s="5">
        <v>0.57177179990000004</v>
      </c>
      <c r="D207" s="5">
        <v>0.4818043393</v>
      </c>
      <c r="E207" s="5">
        <v>0.28000000000000003</v>
      </c>
      <c r="F207" s="2">
        <v>4868435097</v>
      </c>
      <c r="G207" s="5">
        <v>0</v>
      </c>
    </row>
    <row r="208" spans="1:7" ht="15.75" thickBot="1" x14ac:dyDescent="0.3">
      <c r="A208" s="4">
        <v>45788</v>
      </c>
      <c r="B208" s="5">
        <v>0.32523856254268402</v>
      </c>
      <c r="C208" s="5">
        <v>0.53507265839999996</v>
      </c>
      <c r="D208" s="5">
        <v>0.49408969720000001</v>
      </c>
      <c r="E208" s="5">
        <v>0.28999999999999998</v>
      </c>
      <c r="F208" s="2">
        <v>5073557040</v>
      </c>
      <c r="G208" s="5">
        <v>0</v>
      </c>
    </row>
    <row r="209" spans="1:7" ht="15.75" thickBot="1" x14ac:dyDescent="0.3">
      <c r="A209" s="4">
        <v>45789</v>
      </c>
      <c r="B209" s="5">
        <v>0.30222470289147702</v>
      </c>
      <c r="C209" s="5">
        <v>0.52458718950000005</v>
      </c>
      <c r="D209" s="5">
        <v>0.44190291570000001</v>
      </c>
      <c r="E209" s="5">
        <v>0.28999999999999998</v>
      </c>
      <c r="F209" s="2">
        <v>4985450542</v>
      </c>
      <c r="G209" s="5">
        <v>0</v>
      </c>
    </row>
    <row r="210" spans="1:7" ht="15.75" thickBot="1" x14ac:dyDescent="0.3">
      <c r="A210" s="4">
        <v>45790</v>
      </c>
      <c r="B210" s="5">
        <v>0.29900119738758102</v>
      </c>
      <c r="C210" s="5">
        <v>0.56967470610000004</v>
      </c>
      <c r="D210" s="5">
        <v>0.4538458246</v>
      </c>
      <c r="E210" s="5">
        <v>0.28000000000000003</v>
      </c>
      <c r="F210" s="2">
        <v>4973109640</v>
      </c>
      <c r="G210" s="5">
        <v>0</v>
      </c>
    </row>
    <row r="211" spans="1:7" ht="15.75" thickBot="1" x14ac:dyDescent="0.3">
      <c r="A211" s="4">
        <v>45791</v>
      </c>
      <c r="B211" s="5">
        <v>0.29881229731425002</v>
      </c>
      <c r="C211" s="5">
        <v>0.58330581569999995</v>
      </c>
      <c r="D211" s="5">
        <v>0.43857626830000002</v>
      </c>
      <c r="E211" s="5">
        <v>0.28000000000000003</v>
      </c>
      <c r="F211" s="2">
        <v>4972386453</v>
      </c>
      <c r="G211" s="5">
        <v>0</v>
      </c>
    </row>
    <row r="212" spans="1:7" ht="15.75" thickBot="1" x14ac:dyDescent="0.3">
      <c r="A212" s="4">
        <v>45792</v>
      </c>
      <c r="B212" s="5">
        <v>0.31898519808022502</v>
      </c>
      <c r="C212" s="5">
        <v>0.60113111299999999</v>
      </c>
      <c r="D212" s="5">
        <v>0.43857626830000002</v>
      </c>
      <c r="E212" s="5">
        <v>0.27</v>
      </c>
      <c r="F212" s="2">
        <v>5049616595</v>
      </c>
      <c r="G212" s="5">
        <v>0</v>
      </c>
    </row>
    <row r="213" spans="1:7" ht="15.75" thickBot="1" x14ac:dyDescent="0.3">
      <c r="A213" s="4">
        <v>45793</v>
      </c>
      <c r="B213" s="5">
        <v>0.31898519808022502</v>
      </c>
      <c r="C213" s="5">
        <v>0.60113111299999999</v>
      </c>
      <c r="D213" s="5">
        <v>0.43857626830000002</v>
      </c>
      <c r="E213" s="5">
        <v>0.27</v>
      </c>
      <c r="F213" s="2">
        <v>5049616595</v>
      </c>
      <c r="G213" s="5">
        <v>0</v>
      </c>
    </row>
    <row r="214" spans="1:7" ht="15.75" thickBot="1" x14ac:dyDescent="0.3">
      <c r="A214" s="4">
        <v>45794</v>
      </c>
      <c r="B214" s="5">
        <v>0.32206834331961498</v>
      </c>
      <c r="C214" s="5">
        <v>0.6032282068</v>
      </c>
      <c r="D214" s="5">
        <v>0.40409899220000001</v>
      </c>
      <c r="E214" s="5">
        <v>0.27</v>
      </c>
      <c r="F214" s="2">
        <v>5061420140</v>
      </c>
      <c r="G214" s="5">
        <v>0</v>
      </c>
    </row>
    <row r="215" spans="1:7" ht="15.75" thickBot="1" x14ac:dyDescent="0.3">
      <c r="A215" s="4">
        <v>45795</v>
      </c>
      <c r="B215" s="5">
        <v>0.33554077487113698</v>
      </c>
      <c r="C215" s="5">
        <v>0.61056803510000002</v>
      </c>
      <c r="D215" s="5">
        <v>0.36956362209999999</v>
      </c>
      <c r="E215" s="5">
        <v>0.27</v>
      </c>
      <c r="F215" s="2">
        <v>5112998137</v>
      </c>
      <c r="G215" s="5">
        <v>0</v>
      </c>
    </row>
    <row r="216" spans="1:7" ht="15.75" thickBot="1" x14ac:dyDescent="0.3">
      <c r="A216" s="4">
        <v>45796</v>
      </c>
      <c r="B216" s="5">
        <v>0.32989621114747403</v>
      </c>
      <c r="C216" s="5">
        <v>0.60113111299999999</v>
      </c>
      <c r="D216" s="5">
        <v>0.38975894039999998</v>
      </c>
      <c r="E216" s="5">
        <v>0.28000000000000003</v>
      </c>
      <c r="F216" s="2">
        <v>5091388431</v>
      </c>
      <c r="G216" s="5">
        <v>0</v>
      </c>
    </row>
    <row r="217" spans="1:7" ht="15.75" thickBot="1" x14ac:dyDescent="0.3">
      <c r="A217" s="4">
        <v>45797</v>
      </c>
      <c r="B217" s="5">
        <v>0.34819900687208899</v>
      </c>
      <c r="C217" s="5">
        <v>0.56757761230000003</v>
      </c>
      <c r="D217" s="5">
        <v>0.46449231940000002</v>
      </c>
      <c r="E217" s="5">
        <v>0.28999999999999998</v>
      </c>
      <c r="F217" s="2">
        <v>5161459043</v>
      </c>
      <c r="G217" s="5">
        <v>0</v>
      </c>
    </row>
    <row r="218" spans="1:7" ht="15.75" thickBot="1" x14ac:dyDescent="0.3">
      <c r="A218" s="4">
        <v>45798</v>
      </c>
      <c r="B218" s="5">
        <v>0.32505690083037703</v>
      </c>
      <c r="C218" s="5">
        <v>0.53297556459999995</v>
      </c>
      <c r="D218" s="5">
        <v>0.46217773099999998</v>
      </c>
      <c r="E218" s="5">
        <v>0.28000000000000003</v>
      </c>
      <c r="F218" s="2">
        <v>5072861565</v>
      </c>
      <c r="G218" s="5">
        <v>0</v>
      </c>
    </row>
    <row r="219" spans="1:7" ht="15.75" thickBot="1" x14ac:dyDescent="0.3">
      <c r="A219" s="4">
        <v>45799</v>
      </c>
      <c r="B219" s="5">
        <v>0.33101095769542499</v>
      </c>
      <c r="C219" s="5">
        <v>0.5518494088</v>
      </c>
      <c r="D219" s="5">
        <v>0.44705188099999998</v>
      </c>
      <c r="E219" s="5">
        <v>0.28000000000000003</v>
      </c>
      <c r="F219" s="2">
        <v>5095656138</v>
      </c>
      <c r="G219" s="5">
        <v>0</v>
      </c>
    </row>
    <row r="220" spans="1:7" ht="15.75" thickBot="1" x14ac:dyDescent="0.3">
      <c r="A220" s="4">
        <v>45800</v>
      </c>
      <c r="B220" s="5">
        <v>0.33101095769542499</v>
      </c>
      <c r="C220" s="5">
        <v>0.5518494088</v>
      </c>
      <c r="D220" s="5">
        <v>0.44705188099999998</v>
      </c>
      <c r="E220" s="5">
        <v>0.28000000000000003</v>
      </c>
      <c r="F220" s="2">
        <v>5095656138</v>
      </c>
      <c r="G220" s="5">
        <v>0</v>
      </c>
    </row>
    <row r="221" spans="1:7" ht="15.75" thickBot="1" x14ac:dyDescent="0.3">
      <c r="A221" s="4">
        <v>45801</v>
      </c>
      <c r="B221" s="5">
        <v>0.32200686897588399</v>
      </c>
      <c r="C221" s="5">
        <v>0.52458718950000005</v>
      </c>
      <c r="D221" s="5">
        <v>0.44037106799999998</v>
      </c>
      <c r="E221" s="5">
        <v>0.28000000000000003</v>
      </c>
      <c r="F221" s="2">
        <v>5061184791</v>
      </c>
      <c r="G221" s="5">
        <v>0</v>
      </c>
    </row>
    <row r="222" spans="1:7" ht="15.75" thickBot="1" x14ac:dyDescent="0.3">
      <c r="A222" s="4">
        <v>45802</v>
      </c>
      <c r="B222" s="5">
        <v>0.31271295687137801</v>
      </c>
      <c r="C222" s="5">
        <v>0.52563573630000004</v>
      </c>
      <c r="D222" s="5">
        <v>0.42039283789999998</v>
      </c>
      <c r="E222" s="5">
        <v>0.28000000000000003</v>
      </c>
      <c r="F222" s="2">
        <v>5025603882</v>
      </c>
      <c r="G222" s="5">
        <v>0</v>
      </c>
    </row>
    <row r="223" spans="1:7" ht="15.75" thickBot="1" x14ac:dyDescent="0.3">
      <c r="A223" s="4">
        <v>45803</v>
      </c>
      <c r="B223" s="5">
        <v>0.30794496029941598</v>
      </c>
      <c r="C223" s="5">
        <v>0.55080086189999999</v>
      </c>
      <c r="D223" s="5">
        <v>0.42541338490000002</v>
      </c>
      <c r="E223" s="5">
        <v>0.3</v>
      </c>
      <c r="F223" s="2">
        <v>5007350034</v>
      </c>
      <c r="G223" s="5">
        <v>0</v>
      </c>
    </row>
    <row r="224" spans="1:7" ht="15.75" thickBot="1" x14ac:dyDescent="0.3">
      <c r="A224" s="4">
        <v>45804</v>
      </c>
      <c r="B224" s="5">
        <v>0.31711170091345298</v>
      </c>
      <c r="C224" s="5">
        <v>0.54136393979999997</v>
      </c>
      <c r="D224" s="5">
        <v>0.42984687640000002</v>
      </c>
      <c r="E224" s="5">
        <v>0.28000000000000003</v>
      </c>
      <c r="F224" s="2">
        <v>5042444079</v>
      </c>
      <c r="G224" s="5">
        <v>0</v>
      </c>
    </row>
    <row r="225" spans="1:7" ht="15.75" thickBot="1" x14ac:dyDescent="0.3">
      <c r="A225" s="4">
        <v>45805</v>
      </c>
      <c r="B225" s="5">
        <v>0.31977617311995399</v>
      </c>
      <c r="C225" s="5">
        <v>0.54136393979999997</v>
      </c>
      <c r="D225" s="5">
        <v>0.42984687640000002</v>
      </c>
      <c r="E225" s="5">
        <v>0.28000000000000003</v>
      </c>
      <c r="F225" s="2">
        <v>5052644772</v>
      </c>
      <c r="G225" s="5">
        <v>0</v>
      </c>
    </row>
    <row r="226" spans="1:7" ht="15.75" thickBot="1" x14ac:dyDescent="0.3">
      <c r="A226" s="4">
        <v>45806</v>
      </c>
      <c r="B226" s="5">
        <v>0.318917887277547</v>
      </c>
      <c r="C226" s="5">
        <v>0.54136393979999997</v>
      </c>
      <c r="D226" s="5">
        <v>0.42984687640000002</v>
      </c>
      <c r="E226" s="5">
        <v>0.28000000000000003</v>
      </c>
      <c r="F226" s="2">
        <v>5049358902</v>
      </c>
      <c r="G226" s="5">
        <v>0</v>
      </c>
    </row>
    <row r="227" spans="1:7" ht="15.75" thickBot="1" x14ac:dyDescent="0.3">
      <c r="A227" s="4">
        <v>45807</v>
      </c>
      <c r="B227" s="5">
        <v>0.318917887277547</v>
      </c>
      <c r="C227" s="5">
        <v>0.55080086189999999</v>
      </c>
      <c r="D227" s="5">
        <v>0.42984687640000002</v>
      </c>
      <c r="E227" s="5">
        <v>0.28000000000000003</v>
      </c>
      <c r="F227" s="2">
        <v>5049358902</v>
      </c>
      <c r="G227" s="5">
        <v>0</v>
      </c>
    </row>
    <row r="228" spans="1:7" ht="15.75" thickBot="1" x14ac:dyDescent="0.3">
      <c r="A228" s="4">
        <v>45808</v>
      </c>
      <c r="B228" s="5">
        <v>0.341826563350555</v>
      </c>
      <c r="C228" s="5">
        <v>0.55080086189999999</v>
      </c>
      <c r="D228" s="5">
        <v>0.42984687640000002</v>
      </c>
      <c r="E228" s="5">
        <v>0.28000000000000003</v>
      </c>
      <c r="F228" s="2">
        <v>5137062715</v>
      </c>
      <c r="G228" s="5">
        <v>0</v>
      </c>
    </row>
    <row r="229" spans="1:7" ht="15.75" thickBot="1" x14ac:dyDescent="0.3">
      <c r="A229" s="4">
        <v>45809</v>
      </c>
      <c r="B229" s="5">
        <v>0.33384694939422399</v>
      </c>
      <c r="C229" s="5">
        <v>0.54136393979999997</v>
      </c>
      <c r="D229" s="5">
        <v>0.41389853729999998</v>
      </c>
      <c r="E229" s="5">
        <v>0.28999999999999998</v>
      </c>
      <c r="F229" s="2">
        <v>5106513478</v>
      </c>
      <c r="G229" s="5">
        <v>0</v>
      </c>
    </row>
    <row r="230" spans="1:7" ht="15.75" thickBot="1" x14ac:dyDescent="0.3">
      <c r="A230" s="4">
        <v>45810</v>
      </c>
      <c r="B230" s="5">
        <v>0.30935415113109599</v>
      </c>
      <c r="C230" s="5">
        <v>0.54241248669999997</v>
      </c>
      <c r="D230" s="5">
        <v>0.43259258350000002</v>
      </c>
      <c r="E230" s="5">
        <v>0.28999999999999998</v>
      </c>
      <c r="F230" s="2">
        <v>5012744995</v>
      </c>
      <c r="G230" s="5">
        <v>0</v>
      </c>
    </row>
    <row r="231" spans="1:7" ht="15.75" thickBot="1" x14ac:dyDescent="0.3">
      <c r="A231" s="4">
        <v>45811</v>
      </c>
      <c r="B231" s="5">
        <v>0.31808599896587603</v>
      </c>
      <c r="C231" s="5">
        <v>0.52563573630000004</v>
      </c>
      <c r="D231" s="5">
        <v>0.45173609409999999</v>
      </c>
      <c r="E231" s="5">
        <v>0.3</v>
      </c>
      <c r="F231" s="2">
        <v>5046174092</v>
      </c>
      <c r="G231" s="5">
        <v>0</v>
      </c>
    </row>
    <row r="232" spans="1:7" ht="15.75" thickBot="1" x14ac:dyDescent="0.3">
      <c r="A232" s="4">
        <v>45812</v>
      </c>
      <c r="B232" s="5">
        <v>0.31808599896587603</v>
      </c>
      <c r="C232" s="5">
        <v>0.53926684599999997</v>
      </c>
      <c r="D232" s="5">
        <v>0.45173609409999999</v>
      </c>
      <c r="E232" s="5">
        <v>0.3</v>
      </c>
      <c r="F232" s="2">
        <v>5046174092</v>
      </c>
      <c r="G232" s="5">
        <v>0</v>
      </c>
    </row>
    <row r="233" spans="1:7" ht="15.75" thickBot="1" x14ac:dyDescent="0.3">
      <c r="A233" s="4">
        <v>45813</v>
      </c>
      <c r="B233" s="5">
        <v>0.31808599896587603</v>
      </c>
      <c r="C233" s="5">
        <v>0.53087847079999995</v>
      </c>
      <c r="D233" s="5">
        <v>0.45173609409999999</v>
      </c>
      <c r="E233" s="5">
        <v>0.3</v>
      </c>
      <c r="F233" s="2">
        <v>5046174092</v>
      </c>
      <c r="G233" s="5">
        <v>0</v>
      </c>
    </row>
    <row r="234" spans="1:7" ht="15.75" thickBot="1" x14ac:dyDescent="0.3">
      <c r="A234" s="4">
        <v>45814</v>
      </c>
      <c r="B234" s="5">
        <v>0.31808599896587603</v>
      </c>
      <c r="C234" s="5">
        <v>0.53087847079999995</v>
      </c>
      <c r="D234" s="5">
        <v>0.45173609409999999</v>
      </c>
      <c r="E234" s="5">
        <v>0.28999999999999998</v>
      </c>
      <c r="F234" s="2">
        <v>5046174092</v>
      </c>
      <c r="G234" s="5">
        <v>0</v>
      </c>
    </row>
    <row r="235" spans="1:7" ht="15.75" thickBot="1" x14ac:dyDescent="0.3">
      <c r="A235" s="4">
        <v>45815</v>
      </c>
      <c r="B235" s="5">
        <v>0.33945714622398299</v>
      </c>
      <c r="C235" s="5">
        <v>0.48998514180000002</v>
      </c>
      <c r="D235" s="5">
        <v>0.45666185609999999</v>
      </c>
      <c r="E235" s="5">
        <v>0.28999999999999998</v>
      </c>
      <c r="F235" s="2">
        <v>5127991613</v>
      </c>
      <c r="G235" s="5">
        <v>0</v>
      </c>
    </row>
    <row r="236" spans="1:7" ht="15.75" thickBot="1" x14ac:dyDescent="0.3">
      <c r="A236" s="4">
        <v>45816</v>
      </c>
      <c r="B236" s="5">
        <v>0.33835636130720098</v>
      </c>
      <c r="C236" s="5">
        <v>0.48893659490000002</v>
      </c>
      <c r="D236" s="5">
        <v>0.45483036539999999</v>
      </c>
      <c r="E236" s="5">
        <v>0.28000000000000003</v>
      </c>
      <c r="F236" s="2">
        <v>5123777357</v>
      </c>
      <c r="G236" s="5">
        <v>0</v>
      </c>
    </row>
    <row r="237" spans="1:7" ht="15.75" thickBot="1" x14ac:dyDescent="0.3">
      <c r="A237" s="4">
        <v>45817</v>
      </c>
      <c r="B237" s="5">
        <v>0.34790174897322901</v>
      </c>
      <c r="C237" s="5">
        <v>0.47740257899999999</v>
      </c>
      <c r="D237" s="5">
        <v>0.47519996580000001</v>
      </c>
      <c r="E237" s="5">
        <v>0.28999999999999998</v>
      </c>
      <c r="F237" s="2">
        <v>5160321018</v>
      </c>
      <c r="G237" s="5">
        <v>0</v>
      </c>
    </row>
    <row r="238" spans="1:7" ht="15.75" thickBot="1" x14ac:dyDescent="0.3">
      <c r="A238" s="4">
        <v>45818</v>
      </c>
      <c r="B238" s="5">
        <v>0.33990671403277301</v>
      </c>
      <c r="C238" s="5">
        <v>0.47740257899999999</v>
      </c>
      <c r="D238" s="5">
        <v>0.44444988010000003</v>
      </c>
      <c r="E238" s="5">
        <v>0.28000000000000003</v>
      </c>
      <c r="F238" s="2">
        <v>5129712744</v>
      </c>
      <c r="G238" s="5">
        <v>0</v>
      </c>
    </row>
    <row r="239" spans="1:7" ht="15.75" thickBot="1" x14ac:dyDescent="0.3">
      <c r="A239" s="4">
        <v>45819</v>
      </c>
      <c r="B239" s="5">
        <v>0.34173786859850003</v>
      </c>
      <c r="C239" s="5">
        <v>0.47111129769999999</v>
      </c>
      <c r="D239" s="5">
        <v>0.45989371849999999</v>
      </c>
      <c r="E239" s="5">
        <v>0.28999999999999998</v>
      </c>
      <c r="F239" s="2">
        <v>5136723155</v>
      </c>
      <c r="G239" s="5">
        <v>0</v>
      </c>
    </row>
    <row r="240" spans="1:7" ht="15.75" thickBot="1" x14ac:dyDescent="0.3">
      <c r="A240" s="4">
        <v>45820</v>
      </c>
      <c r="B240" s="5">
        <v>0.343188600089472</v>
      </c>
      <c r="C240" s="5">
        <v>0.47111129769999999</v>
      </c>
      <c r="D240" s="5">
        <v>0.45989371849999999</v>
      </c>
      <c r="E240" s="5">
        <v>0.31</v>
      </c>
      <c r="F240" s="2">
        <v>5142277150</v>
      </c>
      <c r="G240" s="5">
        <v>0</v>
      </c>
    </row>
    <row r="241" spans="1:7" ht="15.75" thickBot="1" x14ac:dyDescent="0.3">
      <c r="A241" s="4">
        <v>45821</v>
      </c>
      <c r="B241" s="5">
        <v>0.343188600089472</v>
      </c>
      <c r="C241" s="5">
        <v>0.47111129769999999</v>
      </c>
      <c r="D241" s="5">
        <v>0.45989371849999999</v>
      </c>
      <c r="E241" s="5">
        <v>0.31</v>
      </c>
      <c r="F241" s="2">
        <v>5142277150</v>
      </c>
      <c r="G241" s="5">
        <v>0</v>
      </c>
    </row>
    <row r="242" spans="1:7" ht="15.75" thickBot="1" x14ac:dyDescent="0.3">
      <c r="A242" s="4">
        <v>45822</v>
      </c>
      <c r="B242" s="5">
        <v>0.343188600089472</v>
      </c>
      <c r="C242" s="5">
        <v>0.47111129769999999</v>
      </c>
      <c r="D242" s="5">
        <v>0.45989371849999999</v>
      </c>
      <c r="E242" s="5">
        <v>0.31</v>
      </c>
      <c r="F242" s="2">
        <v>5142277150</v>
      </c>
      <c r="G242" s="5">
        <v>0</v>
      </c>
    </row>
    <row r="243" spans="1:7" ht="15.75" thickBot="1" x14ac:dyDescent="0.3">
      <c r="A243" s="4">
        <v>45823</v>
      </c>
      <c r="B243" s="5">
        <v>0.343188600089472</v>
      </c>
      <c r="C243" s="5">
        <v>0.47111129769999999</v>
      </c>
      <c r="D243" s="5">
        <v>0.45989371849999999</v>
      </c>
      <c r="E243" s="5">
        <v>0.31</v>
      </c>
      <c r="F243" s="2">
        <v>5142277150</v>
      </c>
      <c r="G243" s="5">
        <v>0</v>
      </c>
    </row>
    <row r="244" spans="1:7" ht="15.75" thickBot="1" x14ac:dyDescent="0.3">
      <c r="A244" s="4">
        <v>45824</v>
      </c>
      <c r="B244" s="5">
        <v>0.343188600089472</v>
      </c>
      <c r="C244" s="5">
        <v>0.47111129769999999</v>
      </c>
      <c r="D244" s="5">
        <v>0.45989371849999999</v>
      </c>
      <c r="E244" s="5">
        <v>0.31</v>
      </c>
      <c r="F244" s="2">
        <v>5142277150</v>
      </c>
      <c r="G244" s="5">
        <v>0</v>
      </c>
    </row>
    <row r="245" spans="1:7" ht="15.75" thickBot="1" x14ac:dyDescent="0.3">
      <c r="A245" s="4">
        <v>45825</v>
      </c>
      <c r="B245" s="5">
        <v>0.343188600089472</v>
      </c>
      <c r="C245" s="5">
        <v>0.47111129769999999</v>
      </c>
      <c r="D245" s="5">
        <v>0.45989371849999999</v>
      </c>
      <c r="E245" s="5">
        <v>0.31</v>
      </c>
      <c r="F245" s="2">
        <v>5142277150</v>
      </c>
      <c r="G245" s="5">
        <v>0</v>
      </c>
    </row>
    <row r="246" spans="1:7" ht="15.75" thickBot="1" x14ac:dyDescent="0.3">
      <c r="A246" s="4">
        <v>45826</v>
      </c>
      <c r="B246" s="5">
        <v>0.343188600089472</v>
      </c>
      <c r="C246" s="5">
        <v>0.47111129769999999</v>
      </c>
      <c r="D246" s="5">
        <v>0.45989371849999999</v>
      </c>
      <c r="E246" s="5">
        <v>0.31</v>
      </c>
      <c r="F246" s="2">
        <v>5142277150</v>
      </c>
      <c r="G246" s="5">
        <v>0</v>
      </c>
    </row>
    <row r="247" spans="1:7" ht="15.75" thickBot="1" x14ac:dyDescent="0.3">
      <c r="A247" s="4">
        <v>45827</v>
      </c>
      <c r="B247" s="5">
        <v>0.343188600089472</v>
      </c>
      <c r="C247" s="5">
        <v>0.47111129769999999</v>
      </c>
      <c r="D247" s="5">
        <v>0.45989371849999999</v>
      </c>
      <c r="E247" s="5">
        <v>0.31</v>
      </c>
      <c r="F247" s="2">
        <v>5142277150</v>
      </c>
      <c r="G247" s="5">
        <v>0</v>
      </c>
    </row>
    <row r="248" spans="1:7" ht="15.75" thickBot="1" x14ac:dyDescent="0.3">
      <c r="A248" s="4">
        <v>45828</v>
      </c>
      <c r="B248" s="5">
        <v>0.343188600089472</v>
      </c>
      <c r="C248" s="5">
        <v>0.47111129769999999</v>
      </c>
      <c r="D248" s="5">
        <v>0.45989371849999999</v>
      </c>
      <c r="E248" s="5">
        <v>0.31</v>
      </c>
      <c r="F248" s="2">
        <v>5142277150</v>
      </c>
      <c r="G248" s="5">
        <v>0</v>
      </c>
    </row>
    <row r="249" spans="1:7" ht="15.75" thickBot="1" x14ac:dyDescent="0.3">
      <c r="A249" s="4">
        <v>45829</v>
      </c>
      <c r="B249" s="5">
        <v>0.343188600089472</v>
      </c>
      <c r="C249" s="5">
        <v>0.47111129769999999</v>
      </c>
      <c r="D249" s="5">
        <v>0.45989371849999999</v>
      </c>
      <c r="E249" s="5">
        <v>0.31</v>
      </c>
      <c r="F249" s="2">
        <v>5142277150</v>
      </c>
      <c r="G249" s="5">
        <v>0</v>
      </c>
    </row>
    <row r="250" spans="1:7" ht="15.75" thickBot="1" x14ac:dyDescent="0.3">
      <c r="A250" s="4">
        <v>45830</v>
      </c>
      <c r="B250" s="5">
        <v>0.343188600089472</v>
      </c>
      <c r="C250" s="5">
        <v>0.47111129769999999</v>
      </c>
      <c r="D250" s="5">
        <v>0.45989371849999999</v>
      </c>
      <c r="E250" s="5">
        <v>0.31</v>
      </c>
      <c r="F250" s="2">
        <v>5142277150</v>
      </c>
      <c r="G250" s="5">
        <v>0</v>
      </c>
    </row>
    <row r="251" spans="1:7" ht="15.75" thickBot="1" x14ac:dyDescent="0.3">
      <c r="A251" s="4">
        <v>45831</v>
      </c>
      <c r="B251" s="5">
        <v>0.343188600089472</v>
      </c>
      <c r="C251" s="5">
        <v>0.47111129769999999</v>
      </c>
      <c r="D251" s="5">
        <v>0.45989371849999999</v>
      </c>
      <c r="E251" s="5">
        <v>0.31</v>
      </c>
      <c r="F251" s="2">
        <v>5142277150</v>
      </c>
      <c r="G251" s="5">
        <v>0</v>
      </c>
    </row>
    <row r="252" spans="1:7" ht="15.75" thickBot="1" x14ac:dyDescent="0.3">
      <c r="A252" s="4">
        <v>45832</v>
      </c>
      <c r="B252" s="5">
        <v>0.343188600089472</v>
      </c>
      <c r="C252" s="5">
        <v>0.47111129769999999</v>
      </c>
      <c r="D252" s="5">
        <v>0.45989371849999999</v>
      </c>
      <c r="E252" s="5">
        <v>0.31</v>
      </c>
      <c r="F252" s="2">
        <v>5142277150</v>
      </c>
      <c r="G252" s="5">
        <v>0</v>
      </c>
    </row>
    <row r="253" spans="1:7" ht="15.75" thickBot="1" x14ac:dyDescent="0.3">
      <c r="A253" s="4">
        <v>45833</v>
      </c>
      <c r="B253" s="5">
        <v>0.343188600089472</v>
      </c>
      <c r="C253" s="5">
        <v>0.47111129769999999</v>
      </c>
      <c r="D253" s="5">
        <v>0.45989371849999999</v>
      </c>
      <c r="E253" s="5">
        <v>0.3</v>
      </c>
      <c r="F253" s="2">
        <v>5142277150</v>
      </c>
      <c r="G253" s="5">
        <v>0</v>
      </c>
    </row>
    <row r="254" spans="1:7" ht="15.75" thickBot="1" x14ac:dyDescent="0.3">
      <c r="A254" s="4">
        <v>45834</v>
      </c>
      <c r="B254" s="5">
        <v>0.343188600089472</v>
      </c>
      <c r="C254" s="5">
        <v>0.47111129769999999</v>
      </c>
      <c r="D254" s="5">
        <v>0.45989371849999999</v>
      </c>
      <c r="E254" s="5">
        <v>0.31</v>
      </c>
      <c r="F254" s="2">
        <v>5142277150</v>
      </c>
      <c r="G254" s="5">
        <v>0</v>
      </c>
    </row>
    <row r="255" spans="1:7" ht="15.75" thickBot="1" x14ac:dyDescent="0.3">
      <c r="A255" s="4">
        <v>45835</v>
      </c>
      <c r="B255" s="5">
        <v>0.343188600089472</v>
      </c>
      <c r="C255" s="5">
        <v>0.47111129769999999</v>
      </c>
      <c r="D255" s="5">
        <v>0.45989371849999999</v>
      </c>
      <c r="E255" s="5">
        <v>0.31</v>
      </c>
      <c r="F255" s="2">
        <v>5142277150</v>
      </c>
      <c r="G255" s="5">
        <v>0</v>
      </c>
    </row>
    <row r="256" spans="1:7" ht="15.75" thickBot="1" x14ac:dyDescent="0.3">
      <c r="A256" s="4">
        <v>45836</v>
      </c>
      <c r="B256" s="5">
        <v>0.25778684706170202</v>
      </c>
      <c r="C256" s="5">
        <v>0.427072328</v>
      </c>
      <c r="D256" s="5">
        <v>0.48808460939999998</v>
      </c>
      <c r="E256" s="5">
        <v>0.32</v>
      </c>
      <c r="F256" s="2">
        <v>4815324194</v>
      </c>
      <c r="G256" s="5">
        <v>0</v>
      </c>
    </row>
    <row r="257" spans="1:7" ht="15.75" thickBot="1" x14ac:dyDescent="0.3">
      <c r="A257" s="4">
        <v>45837</v>
      </c>
      <c r="B257" s="5">
        <v>0.29270043204542301</v>
      </c>
      <c r="C257" s="5">
        <v>0.38513045200000001</v>
      </c>
      <c r="D257" s="5">
        <v>0.55946688030000002</v>
      </c>
      <c r="E257" s="5">
        <v>0.38</v>
      </c>
      <c r="F257" s="2">
        <v>4948987725</v>
      </c>
      <c r="G257" s="5">
        <v>0</v>
      </c>
    </row>
    <row r="258" spans="1:7" ht="15.75" thickBot="1" x14ac:dyDescent="0.3">
      <c r="A258" s="4">
        <v>45838</v>
      </c>
      <c r="B258" s="5">
        <v>0.325532479941883</v>
      </c>
      <c r="C258" s="5">
        <v>0.34423712299999998</v>
      </c>
      <c r="D258" s="5">
        <v>0.66767159139999999</v>
      </c>
      <c r="E258" s="5">
        <v>0.42</v>
      </c>
      <c r="F258" s="2">
        <v>5074682277</v>
      </c>
      <c r="G258" s="5">
        <v>0</v>
      </c>
    </row>
    <row r="259" spans="1:7" ht="15.75" thickBot="1" x14ac:dyDescent="0.3">
      <c r="A259" s="4">
        <v>45839</v>
      </c>
      <c r="B259" s="5">
        <v>0.27784264112403001</v>
      </c>
      <c r="C259" s="5">
        <v>0.3043923409</v>
      </c>
      <c r="D259" s="5">
        <v>0.6874908273</v>
      </c>
      <c r="E259" s="5">
        <v>0.44</v>
      </c>
      <c r="F259" s="2">
        <v>4892106004</v>
      </c>
      <c r="G259" s="5">
        <v>0</v>
      </c>
    </row>
    <row r="260" spans="1:7" ht="15.75" thickBot="1" x14ac:dyDescent="0.3">
      <c r="A260" s="4">
        <v>45840</v>
      </c>
      <c r="B260" s="5">
        <v>0.28170072290593301</v>
      </c>
      <c r="C260" s="5">
        <v>0.26559610569999997</v>
      </c>
      <c r="D260" s="5">
        <v>0.63272344800000002</v>
      </c>
      <c r="E260" s="5">
        <v>0.43</v>
      </c>
      <c r="F260" s="2">
        <v>4906876324</v>
      </c>
      <c r="G260" s="5">
        <v>0</v>
      </c>
    </row>
    <row r="261" spans="1:7" ht="15.75" thickBot="1" x14ac:dyDescent="0.3">
      <c r="A261" s="4">
        <v>45841</v>
      </c>
      <c r="B261" s="5">
        <v>0.28170072290593301</v>
      </c>
      <c r="C261" s="5">
        <v>0.23623679249999999</v>
      </c>
      <c r="D261" s="5">
        <v>0.63272344800000002</v>
      </c>
      <c r="E261" s="5">
        <v>0.43</v>
      </c>
      <c r="F261" s="2">
        <v>4906876324</v>
      </c>
      <c r="G261" s="5">
        <v>0</v>
      </c>
    </row>
    <row r="262" spans="1:7" ht="15.75" thickBot="1" x14ac:dyDescent="0.3">
      <c r="A262" s="4">
        <v>45842</v>
      </c>
      <c r="B262" s="5">
        <v>0.28170072290593301</v>
      </c>
      <c r="C262" s="5">
        <v>0.2016347449</v>
      </c>
      <c r="D262" s="5">
        <v>0.63272344800000002</v>
      </c>
      <c r="E262" s="5">
        <v>0.43</v>
      </c>
      <c r="F262" s="2">
        <v>4906876324</v>
      </c>
      <c r="G262" s="5">
        <v>0</v>
      </c>
    </row>
    <row r="263" spans="1:7" ht="15.75" thickBot="1" x14ac:dyDescent="0.3">
      <c r="A263" s="4">
        <v>45843</v>
      </c>
      <c r="B263" s="5">
        <v>0.28170072290593301</v>
      </c>
      <c r="C263" s="5">
        <v>0.2016347449</v>
      </c>
      <c r="D263" s="5">
        <v>0.63272344800000002</v>
      </c>
      <c r="E263" s="5">
        <v>0.43</v>
      </c>
      <c r="F263" s="2">
        <v>4906876324</v>
      </c>
      <c r="G263" s="5">
        <v>0</v>
      </c>
    </row>
    <row r="264" spans="1:7" ht="15.75" thickBot="1" x14ac:dyDescent="0.3">
      <c r="A264" s="4">
        <v>45844</v>
      </c>
      <c r="B264" s="5">
        <v>0.28170072290593301</v>
      </c>
      <c r="C264" s="5">
        <v>0.2016347449</v>
      </c>
      <c r="D264" s="5">
        <v>0.63272344800000002</v>
      </c>
      <c r="E264" s="5">
        <v>0.43</v>
      </c>
      <c r="F264" s="2">
        <v>4906876324</v>
      </c>
      <c r="G264" s="5">
        <v>0</v>
      </c>
    </row>
    <row r="265" spans="1:7" ht="15.75" thickBot="1" x14ac:dyDescent="0.3">
      <c r="A265" s="4">
        <v>45845</v>
      </c>
      <c r="B265" s="5">
        <v>0.29987514996537901</v>
      </c>
      <c r="C265" s="5">
        <v>0.2016347449</v>
      </c>
      <c r="D265" s="5">
        <v>0.58970329239999997</v>
      </c>
      <c r="E265" s="5">
        <v>0.38</v>
      </c>
      <c r="F265" s="2">
        <v>4976455489</v>
      </c>
      <c r="G265" s="5">
        <v>0</v>
      </c>
    </row>
    <row r="266" spans="1:7" ht="15.75" thickBot="1" x14ac:dyDescent="0.3">
      <c r="A266" s="4">
        <v>45846</v>
      </c>
      <c r="B266" s="5">
        <v>0.30093696464241299</v>
      </c>
      <c r="C266" s="5">
        <v>0.2016347449</v>
      </c>
      <c r="D266" s="5">
        <v>0.56559121369999998</v>
      </c>
      <c r="E266" s="5">
        <v>0.36</v>
      </c>
      <c r="F266" s="2">
        <v>4980520551</v>
      </c>
      <c r="G266" s="5">
        <v>0</v>
      </c>
    </row>
    <row r="267" spans="1:7" ht="15.75" thickBot="1" x14ac:dyDescent="0.3">
      <c r="A267" s="4">
        <v>45847</v>
      </c>
      <c r="B267" s="5">
        <v>0.30093696464241299</v>
      </c>
      <c r="C267" s="5">
        <v>0.1670326973</v>
      </c>
      <c r="D267" s="5">
        <v>0.57828017220000005</v>
      </c>
      <c r="E267" s="5">
        <v>0.37</v>
      </c>
      <c r="F267" s="2">
        <v>4980520551</v>
      </c>
      <c r="G267" s="5">
        <v>0</v>
      </c>
    </row>
    <row r="268" spans="1:7" ht="15.75" thickBot="1" x14ac:dyDescent="0.3">
      <c r="A268" s="4">
        <v>45848</v>
      </c>
      <c r="B268" s="5">
        <v>0.30093696464241299</v>
      </c>
      <c r="C268" s="5">
        <v>0.1670326973</v>
      </c>
      <c r="D268" s="5">
        <v>0.57828017220000005</v>
      </c>
      <c r="E268" s="5">
        <v>0.38</v>
      </c>
      <c r="F268" s="2">
        <v>4980520551</v>
      </c>
      <c r="G268" s="5">
        <v>0</v>
      </c>
    </row>
    <row r="269" spans="1:7" ht="15.75" thickBot="1" x14ac:dyDescent="0.3">
      <c r="A269" s="4">
        <v>45849</v>
      </c>
      <c r="B269" s="5">
        <v>0.31072685624266499</v>
      </c>
      <c r="C269" s="5">
        <v>0.1670326973</v>
      </c>
      <c r="D269" s="5">
        <v>0.57828017220000005</v>
      </c>
      <c r="E269" s="5">
        <v>0.38</v>
      </c>
      <c r="F269" s="2">
        <v>5018000274</v>
      </c>
      <c r="G269" s="5">
        <v>0</v>
      </c>
    </row>
    <row r="270" spans="1:7" ht="15.75" thickBot="1" x14ac:dyDescent="0.3">
      <c r="A270" s="4">
        <v>45850</v>
      </c>
      <c r="B270" s="5">
        <v>0.33000977916996199</v>
      </c>
      <c r="C270" s="5">
        <v>0.19639201040000001</v>
      </c>
      <c r="D270" s="5">
        <v>0.56888117019999995</v>
      </c>
      <c r="E270" s="5">
        <v>0.36</v>
      </c>
      <c r="F270" s="2">
        <v>5091823216</v>
      </c>
      <c r="G270" s="5">
        <v>0</v>
      </c>
    </row>
    <row r="271" spans="1:7" ht="15.75" thickBot="1" x14ac:dyDescent="0.3">
      <c r="A271" s="4">
        <v>45851</v>
      </c>
      <c r="B271" s="5">
        <v>0.31192199179094698</v>
      </c>
      <c r="C271" s="5">
        <v>0.20582893250000001</v>
      </c>
      <c r="D271" s="5">
        <v>0.59309720659999998</v>
      </c>
      <c r="E271" s="5">
        <v>0.39</v>
      </c>
      <c r="F271" s="2">
        <v>5022575743</v>
      </c>
      <c r="G271" s="5">
        <v>0</v>
      </c>
    </row>
    <row r="272" spans="1:7" ht="15.75" thickBot="1" x14ac:dyDescent="0.3">
      <c r="A272" s="4">
        <v>45852</v>
      </c>
      <c r="B272" s="5">
        <v>0.34425913056679702</v>
      </c>
      <c r="C272" s="5">
        <v>0.2267998705</v>
      </c>
      <c r="D272" s="5">
        <v>0.63641700499999998</v>
      </c>
      <c r="E272" s="5">
        <v>0.38</v>
      </c>
      <c r="F272" s="2">
        <v>5146375580</v>
      </c>
      <c r="G272" s="5">
        <v>0</v>
      </c>
    </row>
    <row r="273" spans="1:7" ht="15.75" thickBot="1" x14ac:dyDescent="0.3">
      <c r="A273" s="4">
        <v>45853</v>
      </c>
      <c r="B273" s="5">
        <v>0.39574973263671798</v>
      </c>
      <c r="C273" s="5">
        <v>0.24881935529999999</v>
      </c>
      <c r="D273" s="5">
        <v>0.61552150090000002</v>
      </c>
      <c r="E273" s="5">
        <v>0.38</v>
      </c>
      <c r="F273" s="2">
        <v>5343502734</v>
      </c>
      <c r="G273" s="5">
        <v>0</v>
      </c>
    </row>
    <row r="274" spans="1:7" ht="15.75" thickBot="1" x14ac:dyDescent="0.3">
      <c r="A274" s="4">
        <v>45854</v>
      </c>
      <c r="B274" s="5">
        <v>0.405217410985246</v>
      </c>
      <c r="C274" s="5">
        <v>0.28342140290000001</v>
      </c>
      <c r="D274" s="5">
        <v>0.61202057139999999</v>
      </c>
      <c r="E274" s="5">
        <v>0.38</v>
      </c>
      <c r="F274" s="2">
        <v>5379748892</v>
      </c>
      <c r="G274" s="5">
        <v>0</v>
      </c>
    </row>
    <row r="275" spans="1:7" ht="15.75" thickBot="1" x14ac:dyDescent="0.3">
      <c r="A275" s="4">
        <v>45855</v>
      </c>
      <c r="B275" s="5">
        <v>0.405217410985246</v>
      </c>
      <c r="C275" s="5">
        <v>0.28342140290000001</v>
      </c>
      <c r="D275" s="5">
        <v>0.61202057139999999</v>
      </c>
      <c r="E275" s="5">
        <v>0.38</v>
      </c>
      <c r="F275" s="2">
        <v>5379748892</v>
      </c>
      <c r="G275" s="5">
        <v>0</v>
      </c>
    </row>
    <row r="276" spans="1:7" ht="15.75" thickBot="1" x14ac:dyDescent="0.3">
      <c r="A276" s="4">
        <v>45856</v>
      </c>
      <c r="B276" s="5">
        <v>0.405217410985246</v>
      </c>
      <c r="C276" s="5">
        <v>0.28342140290000001</v>
      </c>
      <c r="D276" s="5">
        <v>0.61202057139999999</v>
      </c>
      <c r="E276" s="5">
        <v>0.38</v>
      </c>
      <c r="F276" s="2">
        <v>5379748892</v>
      </c>
      <c r="G276" s="5">
        <v>0</v>
      </c>
    </row>
    <row r="277" spans="1:7" ht="15.75" thickBot="1" x14ac:dyDescent="0.3">
      <c r="A277" s="4">
        <v>45857</v>
      </c>
      <c r="B277" s="5">
        <v>0.39412113871120502</v>
      </c>
      <c r="C277" s="5">
        <v>0.31382926300000002</v>
      </c>
      <c r="D277" s="5">
        <v>0.60044457220000003</v>
      </c>
      <c r="E277" s="5">
        <v>0.38</v>
      </c>
      <c r="F277" s="2">
        <v>5337267809</v>
      </c>
      <c r="G277" s="5">
        <v>0</v>
      </c>
    </row>
    <row r="278" spans="1:7" ht="15.75" thickBot="1" x14ac:dyDescent="0.3">
      <c r="A278" s="4">
        <v>45858</v>
      </c>
      <c r="B278" s="5">
        <v>0.38126649562924397</v>
      </c>
      <c r="C278" s="5">
        <v>0.31068362230000002</v>
      </c>
      <c r="D278" s="5">
        <v>0.58296132769999998</v>
      </c>
      <c r="E278" s="5">
        <v>0.38</v>
      </c>
      <c r="F278" s="2">
        <v>5288054960</v>
      </c>
      <c r="G278" s="5">
        <v>0</v>
      </c>
    </row>
    <row r="279" spans="1:7" ht="15.75" thickBot="1" x14ac:dyDescent="0.3">
      <c r="A279" s="4">
        <v>45859</v>
      </c>
      <c r="B279" s="5">
        <v>0.389744358724535</v>
      </c>
      <c r="C279" s="5">
        <v>0.34214002919999997</v>
      </c>
      <c r="D279" s="5">
        <v>0.60145663130000004</v>
      </c>
      <c r="E279" s="5">
        <v>0.38</v>
      </c>
      <c r="F279" s="2">
        <v>5320511699</v>
      </c>
      <c r="G279" s="5">
        <v>0</v>
      </c>
    </row>
    <row r="280" spans="1:7" ht="15.75" thickBot="1" x14ac:dyDescent="0.3">
      <c r="A280" s="4">
        <v>45860</v>
      </c>
      <c r="B280" s="5">
        <v>0.394098286234565</v>
      </c>
      <c r="C280" s="5">
        <v>0.35052840439999999</v>
      </c>
      <c r="D280" s="5">
        <v>0.62147155229999995</v>
      </c>
      <c r="E280" s="5">
        <v>0.38</v>
      </c>
      <c r="F280" s="2">
        <v>5337180320</v>
      </c>
      <c r="G280" s="5">
        <v>0</v>
      </c>
    </row>
    <row r="281" spans="1:7" ht="15.75" thickBot="1" x14ac:dyDescent="0.3">
      <c r="A281" s="4">
        <v>45861</v>
      </c>
      <c r="B281" s="5">
        <v>0.39504067937640502</v>
      </c>
      <c r="C281" s="5">
        <v>0.34633421679999998</v>
      </c>
      <c r="D281" s="5">
        <v>0.62323883369999999</v>
      </c>
      <c r="E281" s="5">
        <v>0.38</v>
      </c>
      <c r="F281" s="2">
        <v>5340788188</v>
      </c>
      <c r="G281" s="5">
        <v>0</v>
      </c>
    </row>
    <row r="282" spans="1:7" ht="15.75" thickBot="1" x14ac:dyDescent="0.3">
      <c r="A282" s="4">
        <v>45862</v>
      </c>
      <c r="B282" s="5">
        <v>0.39504067937640502</v>
      </c>
      <c r="C282" s="5">
        <v>0.34633421679999998</v>
      </c>
      <c r="D282" s="5">
        <v>0.62323883369999999</v>
      </c>
      <c r="E282" s="5">
        <v>0.38</v>
      </c>
      <c r="F282" s="2">
        <v>5340788188</v>
      </c>
      <c r="G282" s="5">
        <v>0</v>
      </c>
    </row>
    <row r="283" spans="1:7" ht="15.75" thickBot="1" x14ac:dyDescent="0.3">
      <c r="A283" s="4">
        <v>45863</v>
      </c>
      <c r="B283" s="5">
        <v>0.39504067937640502</v>
      </c>
      <c r="C283" s="5">
        <v>0.34633421679999998</v>
      </c>
      <c r="D283" s="5">
        <v>0.62323883369999999</v>
      </c>
      <c r="E283" s="5">
        <v>0.38</v>
      </c>
      <c r="F283" s="2">
        <v>5340788188</v>
      </c>
      <c r="G283" s="5">
        <v>0</v>
      </c>
    </row>
    <row r="284" spans="1:7" ht="15.75" thickBot="1" x14ac:dyDescent="0.3">
      <c r="A284" s="4">
        <v>45864</v>
      </c>
      <c r="B284" s="5">
        <v>0.38909633062189902</v>
      </c>
      <c r="C284" s="5">
        <v>0.3809362644</v>
      </c>
      <c r="D284" s="5">
        <v>0.59750623749999998</v>
      </c>
      <c r="E284" s="5">
        <v>0.38</v>
      </c>
      <c r="F284" s="2">
        <v>5318030781</v>
      </c>
      <c r="G284" s="5">
        <v>0</v>
      </c>
    </row>
    <row r="285" spans="1:7" ht="15.75" thickBot="1" x14ac:dyDescent="0.3">
      <c r="A285" s="4">
        <v>45865</v>
      </c>
      <c r="B285" s="5">
        <v>0.38217647731976501</v>
      </c>
      <c r="C285" s="5">
        <v>0.37359643619999999</v>
      </c>
      <c r="D285" s="5">
        <v>0.58966048630000001</v>
      </c>
      <c r="E285" s="5">
        <v>0.38</v>
      </c>
      <c r="F285" s="2">
        <v>5291538743</v>
      </c>
      <c r="G285" s="5">
        <v>0</v>
      </c>
    </row>
    <row r="286" spans="1:7" ht="15.75" thickBot="1" x14ac:dyDescent="0.3">
      <c r="A286" s="4">
        <v>45866</v>
      </c>
      <c r="B286" s="5">
        <v>0.38606559665383999</v>
      </c>
      <c r="C286" s="5">
        <v>0.34947985749999999</v>
      </c>
      <c r="D286" s="5">
        <v>0.61742331589999999</v>
      </c>
      <c r="E286" s="5">
        <v>0.38</v>
      </c>
      <c r="F286" s="2">
        <v>5306427888</v>
      </c>
      <c r="G286" s="5">
        <v>0</v>
      </c>
    </row>
    <row r="287" spans="1:7" ht="15.75" thickBot="1" x14ac:dyDescent="0.3">
      <c r="A287" s="4">
        <v>45867</v>
      </c>
      <c r="B287" s="5">
        <v>0.38637270462338902</v>
      </c>
      <c r="C287" s="5">
        <v>0.31697490369999998</v>
      </c>
      <c r="D287" s="5">
        <v>0.62255699330000003</v>
      </c>
      <c r="E287" s="5">
        <v>0.38</v>
      </c>
      <c r="F287" s="2">
        <v>5307603623</v>
      </c>
      <c r="G287" s="5">
        <v>0</v>
      </c>
    </row>
    <row r="288" spans="1:7" ht="15.75" thickBot="1" x14ac:dyDescent="0.3">
      <c r="A288" s="4">
        <v>45868</v>
      </c>
      <c r="B288" s="5">
        <v>0.38887667930576197</v>
      </c>
      <c r="C288" s="5">
        <v>0.28446994980000001</v>
      </c>
      <c r="D288" s="5">
        <v>0.62486852400000004</v>
      </c>
      <c r="E288" s="5">
        <v>0.41</v>
      </c>
      <c r="F288" s="2">
        <v>5317189866</v>
      </c>
      <c r="G288" s="5">
        <v>0</v>
      </c>
    </row>
    <row r="289" spans="1:7" ht="15.75" thickBot="1" x14ac:dyDescent="0.3">
      <c r="A289" s="4">
        <v>45869</v>
      </c>
      <c r="B289" s="5">
        <v>0.38887667930576197</v>
      </c>
      <c r="C289" s="5">
        <v>0.28446994980000001</v>
      </c>
      <c r="D289" s="5">
        <v>0.62486852400000004</v>
      </c>
      <c r="E289" s="5">
        <v>0.41</v>
      </c>
      <c r="F289" s="2">
        <v>5317189866</v>
      </c>
      <c r="G289" s="5">
        <v>0</v>
      </c>
    </row>
    <row r="290" spans="1:7" ht="15.75" thickBot="1" x14ac:dyDescent="0.3">
      <c r="A290" s="4">
        <v>45870</v>
      </c>
      <c r="B290" s="5">
        <v>0.38887667930576197</v>
      </c>
      <c r="C290" s="5">
        <v>0.28446994980000001</v>
      </c>
      <c r="D290" s="5">
        <v>0.62486852400000004</v>
      </c>
      <c r="E290" s="5">
        <v>0.44</v>
      </c>
      <c r="F290" s="2">
        <v>5317189866</v>
      </c>
      <c r="G290" s="5">
        <v>0</v>
      </c>
    </row>
    <row r="291" spans="1:7" ht="15.75" thickBot="1" x14ac:dyDescent="0.3">
      <c r="A291" s="4">
        <v>45871</v>
      </c>
      <c r="B291" s="5">
        <v>0.39560526705389998</v>
      </c>
      <c r="C291" s="5">
        <v>0.26769319949999998</v>
      </c>
      <c r="D291" s="5">
        <v>0.67661807149999997</v>
      </c>
      <c r="E291" s="5">
        <v>0.46</v>
      </c>
      <c r="F291" s="2">
        <v>5342949661</v>
      </c>
      <c r="G291" s="5">
        <v>0</v>
      </c>
    </row>
    <row r="292" spans="1:7" ht="15.75" thickBot="1" x14ac:dyDescent="0.3">
      <c r="A292" s="4">
        <v>45872</v>
      </c>
      <c r="B292" s="5">
        <v>0.42217842093757002</v>
      </c>
      <c r="C292" s="5">
        <v>0.24986790219999999</v>
      </c>
      <c r="D292" s="5">
        <v>0.71182916689999998</v>
      </c>
      <c r="E292" s="5">
        <v>0.46</v>
      </c>
      <c r="F292" s="2">
        <v>5444682598</v>
      </c>
      <c r="G292" s="5">
        <v>0</v>
      </c>
    </row>
    <row r="293" spans="1:7" ht="15.75" thickBot="1" x14ac:dyDescent="0.3">
      <c r="A293" s="4">
        <v>45873</v>
      </c>
      <c r="B293" s="5">
        <v>0.43098112226754498</v>
      </c>
      <c r="C293" s="5">
        <v>0.2551106367</v>
      </c>
      <c r="D293" s="5">
        <v>0.71904811410000002</v>
      </c>
      <c r="E293" s="5">
        <v>0.46</v>
      </c>
      <c r="F293" s="2">
        <v>5478382951</v>
      </c>
      <c r="G293" s="5">
        <v>0</v>
      </c>
    </row>
    <row r="294" spans="1:7" ht="15.75" thickBot="1" x14ac:dyDescent="0.3">
      <c r="A294" s="4">
        <v>45874</v>
      </c>
      <c r="B294" s="5">
        <v>0.45597151872563502</v>
      </c>
      <c r="C294" s="5">
        <v>0.28866413740000002</v>
      </c>
      <c r="D294" s="5">
        <v>0.71933858419999996</v>
      </c>
      <c r="E294" s="5">
        <v>0.46</v>
      </c>
      <c r="F294" s="2">
        <v>5574056444</v>
      </c>
      <c r="G294" s="5">
        <v>0</v>
      </c>
    </row>
    <row r="295" spans="1:7" ht="15.75" thickBot="1" x14ac:dyDescent="0.3">
      <c r="A295" s="4">
        <v>45875</v>
      </c>
      <c r="B295" s="5">
        <v>0.45732381788825799</v>
      </c>
      <c r="C295" s="5">
        <v>0.251964996</v>
      </c>
      <c r="D295" s="5">
        <v>0.70432892229999999</v>
      </c>
      <c r="E295" s="5">
        <v>0.46</v>
      </c>
      <c r="F295" s="2">
        <v>5579233600</v>
      </c>
      <c r="G295" s="5">
        <v>0</v>
      </c>
    </row>
    <row r="296" spans="1:7" ht="15.75" thickBot="1" x14ac:dyDescent="0.3">
      <c r="A296" s="4">
        <v>45876</v>
      </c>
      <c r="B296" s="5">
        <v>0.45732381788825799</v>
      </c>
      <c r="C296" s="5">
        <v>0.251964996</v>
      </c>
      <c r="D296" s="5">
        <v>0.70432892229999999</v>
      </c>
      <c r="E296" s="5">
        <v>0.46</v>
      </c>
      <c r="F296" s="2">
        <v>5579233600</v>
      </c>
      <c r="G296" s="5">
        <v>0</v>
      </c>
    </row>
    <row r="297" spans="1:7" ht="15.75" thickBot="1" x14ac:dyDescent="0.3">
      <c r="A297" s="4">
        <v>45877</v>
      </c>
      <c r="B297" s="5">
        <v>0.45732381788825799</v>
      </c>
      <c r="C297" s="5">
        <v>0.251964996</v>
      </c>
      <c r="D297" s="5">
        <v>0.70432892229999999</v>
      </c>
      <c r="E297" s="5">
        <v>0.46</v>
      </c>
      <c r="F297" s="2">
        <v>5579233600</v>
      </c>
      <c r="G297" s="5">
        <v>0</v>
      </c>
    </row>
    <row r="298" spans="1:7" ht="15.75" thickBot="1" x14ac:dyDescent="0.3">
      <c r="A298" s="4">
        <v>45878</v>
      </c>
      <c r="B298" s="5">
        <v>0.44904884042371801</v>
      </c>
      <c r="C298" s="5">
        <v>0.26559610569999997</v>
      </c>
      <c r="D298" s="5">
        <v>0.6808375324</v>
      </c>
      <c r="E298" s="5">
        <v>0.46</v>
      </c>
      <c r="F298" s="2">
        <v>5547553591</v>
      </c>
      <c r="G298" s="5">
        <v>0</v>
      </c>
    </row>
    <row r="299" spans="1:7" ht="15.75" thickBot="1" x14ac:dyDescent="0.3">
      <c r="A299" s="4">
        <v>45879</v>
      </c>
      <c r="B299" s="5">
        <v>0.44075516606849702</v>
      </c>
      <c r="C299" s="5">
        <v>0.25615918360000001</v>
      </c>
      <c r="D299" s="5">
        <v>0.67145076069999998</v>
      </c>
      <c r="E299" s="5">
        <v>0.46</v>
      </c>
      <c r="F299" s="2">
        <v>5515802002</v>
      </c>
      <c r="G299" s="5">
        <v>0</v>
      </c>
    </row>
    <row r="300" spans="1:7" ht="15.75" thickBot="1" x14ac:dyDescent="0.3">
      <c r="A300" s="4">
        <v>45880</v>
      </c>
      <c r="B300" s="5">
        <v>0.45895612163079502</v>
      </c>
      <c r="C300" s="5">
        <v>0.23309115189999999</v>
      </c>
      <c r="D300" s="5">
        <v>0.69328188440000005</v>
      </c>
      <c r="E300" s="5">
        <v>0.46</v>
      </c>
      <c r="F300" s="2">
        <v>5585482729</v>
      </c>
      <c r="G300" s="5">
        <v>0</v>
      </c>
    </row>
    <row r="301" spans="1:7" ht="15.75" thickBot="1" x14ac:dyDescent="0.3">
      <c r="A301" s="4">
        <v>45881</v>
      </c>
      <c r="B301" s="5">
        <v>0.45106916035212302</v>
      </c>
      <c r="C301" s="5">
        <v>0.22260568289999999</v>
      </c>
      <c r="D301" s="5">
        <v>0.68251002890000001</v>
      </c>
      <c r="E301" s="5">
        <v>0.46</v>
      </c>
      <c r="F301" s="2">
        <v>5555288205</v>
      </c>
      <c r="G301" s="5">
        <v>0</v>
      </c>
    </row>
    <row r="302" spans="1:7" ht="15.75" thickBot="1" x14ac:dyDescent="0.3">
      <c r="A302" s="4">
        <v>45882</v>
      </c>
      <c r="B302" s="5">
        <v>0.46524137259679998</v>
      </c>
      <c r="C302" s="5">
        <v>0.18800363519999999</v>
      </c>
      <c r="D302" s="5">
        <v>0.7092883176</v>
      </c>
      <c r="E302" s="5">
        <v>0.46</v>
      </c>
      <c r="F302" s="2">
        <v>5609545249</v>
      </c>
      <c r="G302" s="5">
        <v>0</v>
      </c>
    </row>
    <row r="303" spans="1:7" ht="15.75" thickBot="1" x14ac:dyDescent="0.3">
      <c r="A303" s="4">
        <v>45883</v>
      </c>
      <c r="B303" s="5">
        <v>0.46524137259679998</v>
      </c>
      <c r="C303" s="5">
        <v>0.18800363519999999</v>
      </c>
      <c r="D303" s="5">
        <v>0.7092883176</v>
      </c>
      <c r="E303" s="5">
        <v>0.46</v>
      </c>
      <c r="F303" s="2">
        <v>5609545249</v>
      </c>
      <c r="G303" s="5">
        <v>0</v>
      </c>
    </row>
    <row r="304" spans="1:7" ht="15.75" thickBot="1" x14ac:dyDescent="0.3">
      <c r="A304" s="4">
        <v>45884</v>
      </c>
      <c r="B304" s="5">
        <v>0.46524137259679998</v>
      </c>
      <c r="C304" s="5">
        <v>0.18800363519999999</v>
      </c>
      <c r="D304" s="5">
        <v>0.7092883176</v>
      </c>
      <c r="E304" s="5">
        <v>0.46</v>
      </c>
      <c r="F304" s="2">
        <v>5609545249</v>
      </c>
      <c r="G304" s="5">
        <v>0</v>
      </c>
    </row>
    <row r="305" spans="1:17" ht="15.75" thickBot="1" x14ac:dyDescent="0.3">
      <c r="A305" s="4">
        <v>45885</v>
      </c>
      <c r="B305" s="5">
        <v>0.45140694546639698</v>
      </c>
      <c r="C305" s="5">
        <v>0.1911492759</v>
      </c>
      <c r="D305" s="5">
        <v>0.67775549140000002</v>
      </c>
      <c r="E305" s="5">
        <v>0.46</v>
      </c>
      <c r="F305" s="2">
        <v>5556581385</v>
      </c>
      <c r="G305" s="5">
        <v>0</v>
      </c>
    </row>
    <row r="306" spans="1:17" ht="15.75" thickBot="1" x14ac:dyDescent="0.3">
      <c r="A306" s="4">
        <v>45886</v>
      </c>
      <c r="B306" s="5">
        <v>0.47051089560523501</v>
      </c>
      <c r="C306" s="5">
        <v>0.2267998705</v>
      </c>
      <c r="D306" s="5">
        <v>0.68759478500000004</v>
      </c>
      <c r="E306" s="5">
        <v>0.46</v>
      </c>
      <c r="F306" s="2">
        <v>5629719145</v>
      </c>
      <c r="G306" s="5">
        <v>0</v>
      </c>
    </row>
    <row r="307" spans="1:17" ht="15.75" thickBot="1" x14ac:dyDescent="0.3">
      <c r="A307" s="4">
        <v>45887</v>
      </c>
      <c r="B307" s="5">
        <v>0.47285445433138701</v>
      </c>
      <c r="C307" s="5">
        <v>0.2435766208</v>
      </c>
      <c r="D307" s="5">
        <v>0.695471112</v>
      </c>
      <c r="E307" s="5">
        <v>0.46</v>
      </c>
      <c r="F307" s="2">
        <v>5638691250</v>
      </c>
      <c r="G307" s="5">
        <v>0</v>
      </c>
    </row>
    <row r="308" spans="1:17" ht="15.75" thickBot="1" x14ac:dyDescent="0.3">
      <c r="A308" s="4">
        <v>45888</v>
      </c>
      <c r="B308" s="5">
        <v>0.47756528792013098</v>
      </c>
      <c r="C308" s="5">
        <v>0.23309115189999999</v>
      </c>
      <c r="D308" s="5">
        <v>0.70305085369999998</v>
      </c>
      <c r="E308" s="5">
        <v>0.46</v>
      </c>
      <c r="F308" s="2">
        <v>5656726254</v>
      </c>
      <c r="G308" s="5">
        <v>0</v>
      </c>
    </row>
    <row r="309" spans="1:17" ht="15.75" thickBot="1" x14ac:dyDescent="0.3">
      <c r="A309" s="4">
        <v>45889</v>
      </c>
      <c r="B309" s="5">
        <v>0.477892207917612</v>
      </c>
      <c r="C309" s="5">
        <v>0.2163144015</v>
      </c>
      <c r="D309" s="5">
        <v>0.71864145589999995</v>
      </c>
      <c r="E309" s="5">
        <v>0.46</v>
      </c>
      <c r="F309" s="2">
        <v>5657977838</v>
      </c>
      <c r="G309" s="5">
        <v>0</v>
      </c>
    </row>
    <row r="310" spans="1:17" ht="15.75" thickBot="1" x14ac:dyDescent="0.3">
      <c r="A310" s="4">
        <v>45890</v>
      </c>
      <c r="B310" s="5">
        <v>0.477892207917612</v>
      </c>
      <c r="C310" s="5">
        <v>0.2163144015</v>
      </c>
      <c r="D310" s="5">
        <v>0.71864145589999995</v>
      </c>
      <c r="E310" s="5">
        <v>0.47</v>
      </c>
      <c r="F310" s="2">
        <v>5657977838</v>
      </c>
      <c r="G310" s="5">
        <v>0</v>
      </c>
    </row>
    <row r="311" spans="1:17" ht="15.75" thickBot="1" x14ac:dyDescent="0.3">
      <c r="A311" s="4">
        <v>45891</v>
      </c>
      <c r="B311" s="5">
        <v>0.477892207917612</v>
      </c>
      <c r="C311" s="5">
        <v>0.2163144015</v>
      </c>
      <c r="D311" s="5">
        <v>0.71864145589999995</v>
      </c>
      <c r="E311" s="5">
        <v>0.48</v>
      </c>
      <c r="F311" s="2">
        <v>5657977838</v>
      </c>
      <c r="G311" s="5">
        <v>0</v>
      </c>
    </row>
    <row r="312" spans="1:17" ht="15.75" thickBot="1" x14ac:dyDescent="0.3">
      <c r="A312" s="4">
        <v>45892</v>
      </c>
      <c r="B312" s="5">
        <v>0.46435584978936201</v>
      </c>
      <c r="C312" s="5">
        <v>0.2257513236</v>
      </c>
      <c r="D312" s="5">
        <v>0.73759233889999998</v>
      </c>
      <c r="E312" s="5">
        <v>0.5</v>
      </c>
      <c r="F312" s="2">
        <v>5606155104</v>
      </c>
      <c r="G312" s="5">
        <v>2000000000</v>
      </c>
      <c r="I312">
        <v>0.7</v>
      </c>
      <c r="J312">
        <v>0.02</v>
      </c>
      <c r="K312">
        <f>(1+J312)^(L312/365)-1</f>
        <v>2.9884139705738111E-3</v>
      </c>
      <c r="L312" s="6">
        <f>A367-A312</f>
        <v>55</v>
      </c>
      <c r="M312" s="6">
        <f>K312*G312</f>
        <v>5976827.9411476217</v>
      </c>
      <c r="N312" s="8">
        <f>(1+B367)/(1+B312)-1</f>
        <v>0.18966563737915676</v>
      </c>
      <c r="O312">
        <f>(1+I312)^(L312/365)-1</f>
        <v>8.3241225741972347E-2</v>
      </c>
      <c r="P312">
        <f>MIN(0.25*N312,N312-O312)</f>
        <v>4.741640934478919E-2</v>
      </c>
      <c r="Q312" s="6">
        <f>P312*G312</f>
        <v>94832818.689578384</v>
      </c>
    </row>
    <row r="313" spans="1:17" ht="15.75" thickBot="1" x14ac:dyDescent="0.3">
      <c r="A313" s="4">
        <v>45893</v>
      </c>
      <c r="B313" s="5">
        <v>0.46435584978936201</v>
      </c>
      <c r="C313" s="5">
        <v>0.2257513236</v>
      </c>
      <c r="D313" s="5">
        <v>0.73759233889999998</v>
      </c>
      <c r="E313" s="5">
        <v>0.51</v>
      </c>
      <c r="F313" s="2">
        <v>5606155104</v>
      </c>
      <c r="G313" s="5">
        <v>0</v>
      </c>
    </row>
    <row r="314" spans="1:17" ht="15.75" thickBot="1" x14ac:dyDescent="0.3">
      <c r="A314" s="4">
        <v>45894</v>
      </c>
      <c r="B314" s="5">
        <v>0.45911124807408599</v>
      </c>
      <c r="C314" s="5">
        <v>0.20687747940000001</v>
      </c>
      <c r="D314" s="5">
        <v>0.76570067509999995</v>
      </c>
      <c r="E314" s="5">
        <v>0.52</v>
      </c>
      <c r="F314" s="2">
        <v>7586076616</v>
      </c>
      <c r="G314" s="5">
        <v>0</v>
      </c>
    </row>
    <row r="315" spans="1:17" ht="15.75" thickBot="1" x14ac:dyDescent="0.3">
      <c r="A315" s="4">
        <v>45895</v>
      </c>
      <c r="B315" s="5">
        <v>0.46525179138390599</v>
      </c>
      <c r="C315" s="5">
        <v>0.19953765109999999</v>
      </c>
      <c r="D315" s="5">
        <v>0.75637199749999995</v>
      </c>
      <c r="E315" s="5">
        <v>0.53</v>
      </c>
      <c r="F315" s="2">
        <v>7618001963</v>
      </c>
      <c r="G315" s="5">
        <v>0</v>
      </c>
    </row>
    <row r="316" spans="1:17" ht="15.75" thickBot="1" x14ac:dyDescent="0.3">
      <c r="A316" s="4">
        <v>45896</v>
      </c>
      <c r="B316" s="5">
        <v>0.45723922325171101</v>
      </c>
      <c r="C316" s="5">
        <v>0.21736294840000001</v>
      </c>
      <c r="D316" s="5">
        <v>0.80743664690000005</v>
      </c>
      <c r="E316" s="5">
        <v>0.54</v>
      </c>
      <c r="F316" s="2">
        <v>7576343758</v>
      </c>
      <c r="G316" s="5">
        <v>0</v>
      </c>
    </row>
    <row r="317" spans="1:17" ht="15.75" thickBot="1" x14ac:dyDescent="0.3">
      <c r="A317" s="4">
        <v>45897</v>
      </c>
      <c r="B317" s="5">
        <v>0.45723922325171101</v>
      </c>
      <c r="C317" s="5">
        <v>0.21736294840000001</v>
      </c>
      <c r="D317" s="5">
        <v>0.80743664690000005</v>
      </c>
      <c r="E317" s="5">
        <v>0.56000000000000005</v>
      </c>
      <c r="F317" s="2">
        <v>7576343758</v>
      </c>
      <c r="G317" s="5">
        <v>0</v>
      </c>
    </row>
    <row r="318" spans="1:17" ht="15.75" thickBot="1" x14ac:dyDescent="0.3">
      <c r="A318" s="4">
        <v>45898</v>
      </c>
      <c r="B318" s="5">
        <v>0.45723922325171101</v>
      </c>
      <c r="C318" s="5">
        <v>0.21736294840000001</v>
      </c>
      <c r="D318" s="5">
        <v>0.80743664690000005</v>
      </c>
      <c r="E318" s="5">
        <v>0.62</v>
      </c>
      <c r="F318" s="2">
        <v>7576343758</v>
      </c>
      <c r="G318" s="5">
        <v>0</v>
      </c>
    </row>
    <row r="319" spans="1:17" ht="15.75" thickBot="1" x14ac:dyDescent="0.3">
      <c r="A319" s="4">
        <v>45899</v>
      </c>
      <c r="B319" s="5">
        <v>0.491895802233555</v>
      </c>
      <c r="C319" s="5">
        <v>0.19744055730000001</v>
      </c>
      <c r="D319" s="5">
        <v>0.90171713710000001</v>
      </c>
      <c r="E319" s="5">
        <v>0.65</v>
      </c>
      <c r="F319" s="2">
        <v>7756527046</v>
      </c>
      <c r="G319" s="5">
        <v>0</v>
      </c>
    </row>
    <row r="320" spans="1:17" ht="15.75" thickBot="1" x14ac:dyDescent="0.3">
      <c r="A320" s="4">
        <v>45900</v>
      </c>
      <c r="B320" s="5">
        <v>0.49010332949604801</v>
      </c>
      <c r="C320" s="5">
        <v>0.23204260500000001</v>
      </c>
      <c r="D320" s="5">
        <v>0.92060381099999999</v>
      </c>
      <c r="E320" s="5">
        <v>0.67</v>
      </c>
      <c r="F320" s="2">
        <v>7747207788</v>
      </c>
      <c r="G320" s="5">
        <v>0</v>
      </c>
    </row>
    <row r="321" spans="1:7" ht="15.75" thickBot="1" x14ac:dyDescent="0.3">
      <c r="A321" s="4">
        <v>45901</v>
      </c>
      <c r="B321" s="5">
        <v>0.51339252577130301</v>
      </c>
      <c r="C321" s="5">
        <v>0.23204260500000001</v>
      </c>
      <c r="D321" s="5">
        <v>0.92060381099999999</v>
      </c>
      <c r="E321" s="5">
        <v>0.64</v>
      </c>
      <c r="F321" s="2">
        <v>7868290829</v>
      </c>
      <c r="G321" s="5">
        <v>0</v>
      </c>
    </row>
    <row r="322" spans="1:7" ht="15.75" thickBot="1" x14ac:dyDescent="0.3">
      <c r="A322" s="4">
        <v>45902</v>
      </c>
      <c r="B322" s="5">
        <v>0.51339252577130301</v>
      </c>
      <c r="C322" s="5">
        <v>0.23204260500000001</v>
      </c>
      <c r="D322" s="5">
        <v>0.88575351010000003</v>
      </c>
      <c r="E322" s="5">
        <v>0.64</v>
      </c>
      <c r="F322" s="2">
        <v>7868290829</v>
      </c>
      <c r="G322" s="5">
        <v>0</v>
      </c>
    </row>
    <row r="323" spans="1:7" ht="15.75" thickBot="1" x14ac:dyDescent="0.3">
      <c r="A323" s="4">
        <v>45903</v>
      </c>
      <c r="B323" s="5">
        <v>0.53059515862858797</v>
      </c>
      <c r="C323" s="5">
        <v>0.29705251259999998</v>
      </c>
      <c r="D323" s="5">
        <v>0.89383469500000001</v>
      </c>
      <c r="E323" s="5">
        <v>0.6</v>
      </c>
      <c r="F323" s="2">
        <v>7957729171</v>
      </c>
      <c r="G323" s="5">
        <v>0</v>
      </c>
    </row>
    <row r="324" spans="1:7" ht="15.75" thickBot="1" x14ac:dyDescent="0.3">
      <c r="A324" s="4">
        <v>45904</v>
      </c>
      <c r="B324" s="5">
        <v>0.53059515862858797</v>
      </c>
      <c r="C324" s="5">
        <v>0.29705251259999998</v>
      </c>
      <c r="D324" s="5">
        <v>0.89383469500000001</v>
      </c>
      <c r="E324" s="5">
        <v>0.6</v>
      </c>
      <c r="F324" s="2">
        <v>7957729171</v>
      </c>
      <c r="G324" s="5">
        <v>0</v>
      </c>
    </row>
    <row r="325" spans="1:7" ht="15.75" thickBot="1" x14ac:dyDescent="0.3">
      <c r="A325" s="4">
        <v>45905</v>
      </c>
      <c r="B325" s="5">
        <v>0.53059515862858797</v>
      </c>
      <c r="C325" s="5">
        <v>0.29705251259999998</v>
      </c>
      <c r="D325" s="5">
        <v>0.89383469500000001</v>
      </c>
      <c r="E325" s="5">
        <v>0.6</v>
      </c>
      <c r="F325" s="2">
        <v>7957729171</v>
      </c>
      <c r="G325" s="5">
        <v>0</v>
      </c>
    </row>
    <row r="326" spans="1:7" ht="15.75" thickBot="1" x14ac:dyDescent="0.3">
      <c r="A326" s="4">
        <v>45906</v>
      </c>
      <c r="B326" s="5">
        <v>0.52099085856049099</v>
      </c>
      <c r="C326" s="5">
        <v>0.29495541879999998</v>
      </c>
      <c r="D326" s="5">
        <v>0.91402695560000002</v>
      </c>
      <c r="E326" s="5">
        <v>0.6</v>
      </c>
      <c r="F326" s="2">
        <v>7907795380</v>
      </c>
      <c r="G326" s="5">
        <v>0</v>
      </c>
    </row>
    <row r="327" spans="1:7" ht="15.75" thickBot="1" x14ac:dyDescent="0.3">
      <c r="A327" s="4">
        <v>45907</v>
      </c>
      <c r="B327" s="5">
        <v>0.534147369451072</v>
      </c>
      <c r="C327" s="5">
        <v>0.31382926300000002</v>
      </c>
      <c r="D327" s="5">
        <v>0.95398953080000004</v>
      </c>
      <c r="E327" s="5">
        <v>0.6</v>
      </c>
      <c r="F327" s="2">
        <v>7976197498</v>
      </c>
      <c r="G327" s="5">
        <v>0</v>
      </c>
    </row>
    <row r="328" spans="1:7" ht="15.75" thickBot="1" x14ac:dyDescent="0.3">
      <c r="A328" s="4">
        <v>45908</v>
      </c>
      <c r="B328" s="5">
        <v>0.59209867368001201</v>
      </c>
      <c r="C328" s="5">
        <v>0.34947985749999999</v>
      </c>
      <c r="D328" s="5">
        <v>0.94659935910000004</v>
      </c>
      <c r="E328" s="5">
        <v>0.57999999999999996</v>
      </c>
      <c r="F328" s="2">
        <v>8277492573</v>
      </c>
      <c r="G328" s="5">
        <v>0</v>
      </c>
    </row>
    <row r="329" spans="1:7" ht="15.75" thickBot="1" x14ac:dyDescent="0.3">
      <c r="A329" s="4">
        <v>45909</v>
      </c>
      <c r="B329" s="5">
        <v>0.58496145348500705</v>
      </c>
      <c r="C329" s="5">
        <v>0.34528566989999998</v>
      </c>
      <c r="D329" s="5">
        <v>0.92375311869999999</v>
      </c>
      <c r="E329" s="5">
        <v>0.57999999999999996</v>
      </c>
      <c r="F329" s="2">
        <v>8240385396</v>
      </c>
      <c r="G329" s="5">
        <v>0</v>
      </c>
    </row>
    <row r="330" spans="1:7" ht="15.75" thickBot="1" x14ac:dyDescent="0.3">
      <c r="A330" s="4">
        <v>45910</v>
      </c>
      <c r="B330" s="5">
        <v>0.58496145348500705</v>
      </c>
      <c r="C330" s="5">
        <v>0.34528566989999998</v>
      </c>
      <c r="D330" s="5">
        <v>0.92375311869999999</v>
      </c>
      <c r="E330" s="5">
        <v>0.57999999999999996</v>
      </c>
      <c r="F330" s="2">
        <v>8240385396</v>
      </c>
      <c r="G330" s="5">
        <v>0</v>
      </c>
    </row>
    <row r="331" spans="1:7" ht="15.75" thickBot="1" x14ac:dyDescent="0.3">
      <c r="A331" s="4">
        <v>45911</v>
      </c>
      <c r="B331" s="5">
        <v>0.58496145348500705</v>
      </c>
      <c r="C331" s="5">
        <v>0.34528566989999998</v>
      </c>
      <c r="D331" s="5">
        <v>0.92375311869999999</v>
      </c>
      <c r="E331" s="5">
        <v>0.57999999999999996</v>
      </c>
      <c r="F331" s="2">
        <v>8240385396</v>
      </c>
      <c r="G331" s="5">
        <v>0</v>
      </c>
    </row>
    <row r="332" spans="1:7" ht="15.75" thickBot="1" x14ac:dyDescent="0.3">
      <c r="A332" s="4">
        <v>45912</v>
      </c>
      <c r="B332" s="5">
        <v>0.58496145348500705</v>
      </c>
      <c r="C332" s="5">
        <v>0.34528566989999998</v>
      </c>
      <c r="D332" s="5">
        <v>0.92375311869999999</v>
      </c>
      <c r="E332" s="5">
        <v>0.57999999999999996</v>
      </c>
      <c r="F332" s="2">
        <v>8240385396</v>
      </c>
      <c r="G332" s="5">
        <v>0</v>
      </c>
    </row>
    <row r="333" spans="1:7" ht="15.75" thickBot="1" x14ac:dyDescent="0.3">
      <c r="A333" s="4">
        <v>45913</v>
      </c>
      <c r="B333" s="5">
        <v>0.593822999631482</v>
      </c>
      <c r="C333" s="5">
        <v>0.34214002919999997</v>
      </c>
      <c r="D333" s="5">
        <v>0.88329827309999998</v>
      </c>
      <c r="E333" s="5">
        <v>0.53</v>
      </c>
      <c r="F333" s="2">
        <v>8286457530</v>
      </c>
      <c r="G333" s="5">
        <v>0</v>
      </c>
    </row>
    <row r="334" spans="1:7" ht="15.75" thickBot="1" x14ac:dyDescent="0.3">
      <c r="A334" s="4">
        <v>45914</v>
      </c>
      <c r="B334" s="5">
        <v>0.60405174357246205</v>
      </c>
      <c r="C334" s="5">
        <v>0.37883917070000001</v>
      </c>
      <c r="D334" s="5">
        <v>0.88940426100000003</v>
      </c>
      <c r="E334" s="5">
        <v>0.53</v>
      </c>
      <c r="F334" s="2">
        <v>8339637872</v>
      </c>
      <c r="G334" s="5">
        <v>0</v>
      </c>
    </row>
    <row r="335" spans="1:7" ht="15.75" thickBot="1" x14ac:dyDescent="0.3">
      <c r="A335" s="4">
        <v>45915</v>
      </c>
      <c r="B335" s="5">
        <v>0.58530862956888097</v>
      </c>
      <c r="C335" s="5">
        <v>0.36940224859999998</v>
      </c>
      <c r="D335" s="5">
        <v>0.91731385450000003</v>
      </c>
      <c r="E335" s="5">
        <v>0.55000000000000004</v>
      </c>
      <c r="F335" s="2">
        <v>8242190402</v>
      </c>
      <c r="G335" s="5">
        <v>0</v>
      </c>
    </row>
    <row r="336" spans="1:7" ht="15.75" thickBot="1" x14ac:dyDescent="0.3">
      <c r="A336" s="4">
        <v>45916</v>
      </c>
      <c r="B336" s="5">
        <v>0.605098597682732</v>
      </c>
      <c r="C336" s="5">
        <v>0.34214002919999997</v>
      </c>
      <c r="D336" s="5">
        <v>0.96342522379999995</v>
      </c>
      <c r="E336" s="5">
        <v>0.56000000000000005</v>
      </c>
      <c r="F336" s="2">
        <v>8345080579</v>
      </c>
      <c r="G336" s="5">
        <v>0</v>
      </c>
    </row>
    <row r="337" spans="1:17" ht="15.75" thickBot="1" x14ac:dyDescent="0.3">
      <c r="A337" s="4">
        <v>45917</v>
      </c>
      <c r="B337" s="5">
        <v>0.59981795533146798</v>
      </c>
      <c r="C337" s="5">
        <v>0.32431473199999999</v>
      </c>
      <c r="D337" s="5">
        <v>0.95982033659999999</v>
      </c>
      <c r="E337" s="5">
        <v>0.56000000000000005</v>
      </c>
      <c r="F337" s="2">
        <v>8317625950</v>
      </c>
      <c r="G337" s="5">
        <v>0</v>
      </c>
    </row>
    <row r="338" spans="1:17" ht="15.75" thickBot="1" x14ac:dyDescent="0.3">
      <c r="A338" s="4">
        <v>45918</v>
      </c>
      <c r="B338" s="5">
        <v>0.59981795533146798</v>
      </c>
      <c r="C338" s="5">
        <v>0.32431473199999999</v>
      </c>
      <c r="D338" s="5">
        <v>0.95982033659999999</v>
      </c>
      <c r="E338" s="5">
        <v>0.55000000000000004</v>
      </c>
      <c r="F338" s="2">
        <v>8317625950</v>
      </c>
      <c r="G338" s="5">
        <v>0</v>
      </c>
    </row>
    <row r="339" spans="1:17" ht="15.75" thickBot="1" x14ac:dyDescent="0.3">
      <c r="A339" s="4">
        <v>45919</v>
      </c>
      <c r="B339" s="5">
        <v>0.59981795533146798</v>
      </c>
      <c r="C339" s="5">
        <v>0.32431473199999999</v>
      </c>
      <c r="D339" s="5">
        <v>0.95982033659999999</v>
      </c>
      <c r="E339" s="5">
        <v>0.59</v>
      </c>
      <c r="F339" s="2">
        <v>8317625950</v>
      </c>
      <c r="G339" s="5">
        <v>0</v>
      </c>
    </row>
    <row r="340" spans="1:17" ht="15.75" thickBot="1" x14ac:dyDescent="0.3">
      <c r="A340" s="4">
        <v>45920</v>
      </c>
      <c r="B340" s="5">
        <v>0.62147931024151404</v>
      </c>
      <c r="C340" s="5">
        <v>0.28551849670000001</v>
      </c>
      <c r="D340" s="5">
        <v>1.07714581</v>
      </c>
      <c r="E340" s="5">
        <v>0.64</v>
      </c>
      <c r="F340" s="2">
        <v>8430245669</v>
      </c>
      <c r="G340" s="5">
        <v>0</v>
      </c>
    </row>
    <row r="341" spans="1:17" ht="15.75" thickBot="1" x14ac:dyDescent="0.3">
      <c r="A341" s="4">
        <v>45921</v>
      </c>
      <c r="B341" s="5">
        <v>0.64386013617743498</v>
      </c>
      <c r="C341" s="5">
        <v>0.2781786685</v>
      </c>
      <c r="D341" s="5">
        <v>1.1249541359999999</v>
      </c>
      <c r="E341" s="5">
        <v>0.67</v>
      </c>
      <c r="F341" s="2">
        <v>8946605995</v>
      </c>
      <c r="G341" s="5">
        <v>400000000</v>
      </c>
      <c r="I341">
        <v>0.7</v>
      </c>
      <c r="J341">
        <v>0.02</v>
      </c>
      <c r="K341">
        <f>(1+J341)^(L341/365)-1</f>
        <v>1.4115934702445543E-3</v>
      </c>
      <c r="L341" s="6">
        <f>A367-A341</f>
        <v>26</v>
      </c>
      <c r="M341" s="6">
        <f>K341*G341</f>
        <v>564637.38809782173</v>
      </c>
      <c r="N341" s="8">
        <f>(1+B367)/(1+B341)-1</f>
        <v>5.9757942327473001E-2</v>
      </c>
      <c r="O341">
        <f>(1+I341)^(L341/365)-1</f>
        <v>3.8521613958356626E-2</v>
      </c>
      <c r="P341">
        <f>MIN(0.25*N341,N341-O341)</f>
        <v>1.493948558186825E-2</v>
      </c>
      <c r="Q341" s="6">
        <f>P341*G341</f>
        <v>5975794.2327473005</v>
      </c>
    </row>
    <row r="342" spans="1:17" ht="15.75" thickBot="1" x14ac:dyDescent="0.3">
      <c r="A342" s="4">
        <v>45922</v>
      </c>
      <c r="B342" s="5">
        <v>0.62452249865600995</v>
      </c>
      <c r="C342" s="5">
        <v>0.31382926300000002</v>
      </c>
      <c r="D342" s="5">
        <v>1.0815854170000001</v>
      </c>
      <c r="E342" s="5">
        <v>0.64</v>
      </c>
      <c r="F342" s="2">
        <v>8841362112</v>
      </c>
      <c r="G342" s="5">
        <v>0</v>
      </c>
    </row>
    <row r="343" spans="1:17" ht="15.75" thickBot="1" x14ac:dyDescent="0.3">
      <c r="A343" s="4">
        <v>45923</v>
      </c>
      <c r="B343" s="5">
        <v>0.60218835419748995</v>
      </c>
      <c r="C343" s="5">
        <v>0.31592635679999997</v>
      </c>
      <c r="D343" s="5">
        <v>1.1207285600000001</v>
      </c>
      <c r="E343" s="5">
        <v>0.65</v>
      </c>
      <c r="F343" s="2">
        <v>8719809927</v>
      </c>
      <c r="G343" s="5">
        <v>0</v>
      </c>
    </row>
    <row r="344" spans="1:17" ht="15.75" thickBot="1" x14ac:dyDescent="0.3">
      <c r="A344" s="4">
        <v>45924</v>
      </c>
      <c r="B344" s="5">
        <v>0.62828759179280602</v>
      </c>
      <c r="C344" s="5">
        <v>0.30648943470000001</v>
      </c>
      <c r="D344" s="5">
        <v>1.234342131</v>
      </c>
      <c r="E344" s="5">
        <v>0.67</v>
      </c>
      <c r="F344" s="2">
        <v>8861853396</v>
      </c>
      <c r="G344" s="5">
        <v>0</v>
      </c>
    </row>
    <row r="345" spans="1:17" ht="15.75" thickBot="1" x14ac:dyDescent="0.3">
      <c r="A345" s="4">
        <v>45925</v>
      </c>
      <c r="B345" s="5">
        <v>0.62828759179280602</v>
      </c>
      <c r="C345" s="5">
        <v>0.30648943470000001</v>
      </c>
      <c r="D345" s="5">
        <v>1.234342131</v>
      </c>
      <c r="E345" s="5">
        <v>0.69</v>
      </c>
      <c r="F345" s="2">
        <v>8861853396</v>
      </c>
      <c r="G345" s="5">
        <v>0</v>
      </c>
    </row>
    <row r="346" spans="1:17" ht="15.75" thickBot="1" x14ac:dyDescent="0.3">
      <c r="A346" s="4">
        <v>45926</v>
      </c>
      <c r="B346" s="5">
        <v>0.62828759179280602</v>
      </c>
      <c r="C346" s="5">
        <v>0.30648943470000001</v>
      </c>
      <c r="D346" s="5">
        <v>1.234342131</v>
      </c>
      <c r="E346" s="5">
        <v>0.69</v>
      </c>
      <c r="F346" s="2">
        <v>8861853396</v>
      </c>
      <c r="G346" s="5">
        <v>0</v>
      </c>
    </row>
    <row r="347" spans="1:17" ht="15.75" thickBot="1" x14ac:dyDescent="0.3">
      <c r="A347" s="4">
        <v>45927</v>
      </c>
      <c r="B347" s="5">
        <v>0.66098170010766</v>
      </c>
      <c r="C347" s="5">
        <v>0.34423712299999998</v>
      </c>
      <c r="D347" s="5">
        <v>1.2790133800000001</v>
      </c>
      <c r="E347" s="5">
        <v>0.74</v>
      </c>
      <c r="F347" s="2">
        <v>9439789036</v>
      </c>
      <c r="G347" s="5">
        <v>400000000</v>
      </c>
      <c r="I347">
        <v>0.7</v>
      </c>
      <c r="J347">
        <v>0.02</v>
      </c>
      <c r="K347">
        <f>(1+J347)^(L347/365)-1</f>
        <v>1.0856643756533835E-3</v>
      </c>
      <c r="L347" s="6">
        <f>A367-A347</f>
        <v>20</v>
      </c>
      <c r="M347" s="6">
        <f>K347*G347</f>
        <v>434265.75026135339</v>
      </c>
      <c r="N347" s="8">
        <f>(1+B367)/(1+B347)-1</f>
        <v>4.8833852460048677E-2</v>
      </c>
      <c r="O347">
        <f>(1+I347)^(L347/365)-1</f>
        <v>2.9502340180151965E-2</v>
      </c>
      <c r="P347">
        <f>MIN(0.25*N347,N347-O347)</f>
        <v>1.2208463115012169E-2</v>
      </c>
      <c r="Q347" s="6">
        <f>P347*G347</f>
        <v>4883385.2460048674</v>
      </c>
    </row>
    <row r="348" spans="1:17" ht="15.75" thickBot="1" x14ac:dyDescent="0.3">
      <c r="A348" s="4">
        <v>45928</v>
      </c>
      <c r="B348" s="5">
        <v>0.68950487524149595</v>
      </c>
      <c r="C348" s="5">
        <v>0.38408190510000001</v>
      </c>
      <c r="D348" s="5">
        <v>1.228817083</v>
      </c>
      <c r="E348" s="5">
        <v>0.73</v>
      </c>
      <c r="F348" s="2">
        <v>9601893625</v>
      </c>
      <c r="G348" s="5">
        <v>0</v>
      </c>
    </row>
    <row r="349" spans="1:17" ht="15.75" thickBot="1" x14ac:dyDescent="0.3">
      <c r="A349" s="4">
        <v>45929</v>
      </c>
      <c r="B349" s="5">
        <v>0.68310123606595896</v>
      </c>
      <c r="C349" s="5">
        <v>0.4249752342</v>
      </c>
      <c r="D349" s="5">
        <v>1.268742968</v>
      </c>
      <c r="E349" s="5">
        <v>0.75</v>
      </c>
      <c r="F349" s="2">
        <v>9565500085</v>
      </c>
      <c r="G349" s="5">
        <v>0</v>
      </c>
    </row>
    <row r="350" spans="1:17" ht="15.75" thickBot="1" x14ac:dyDescent="0.3">
      <c r="A350" s="4">
        <v>45930</v>
      </c>
      <c r="B350" s="5">
        <v>0.690968505621119</v>
      </c>
      <c r="C350" s="5">
        <v>0.427072328</v>
      </c>
      <c r="D350" s="5">
        <v>1.311683626</v>
      </c>
      <c r="E350" s="5">
        <v>0.77</v>
      </c>
      <c r="F350" s="2">
        <v>9610211815</v>
      </c>
      <c r="G350" s="5">
        <v>0</v>
      </c>
    </row>
    <row r="351" spans="1:17" ht="15.75" thickBot="1" x14ac:dyDescent="0.3">
      <c r="A351" s="4">
        <v>45931</v>
      </c>
      <c r="B351" s="5">
        <v>0.755463852265846</v>
      </c>
      <c r="C351" s="5">
        <v>0.41134412450000002</v>
      </c>
      <c r="D351" s="5">
        <v>1.3938927889999999</v>
      </c>
      <c r="E351" s="5">
        <v>0.82</v>
      </c>
      <c r="F351" s="2">
        <v>9976755568</v>
      </c>
      <c r="G351" s="5">
        <v>0</v>
      </c>
    </row>
    <row r="352" spans="1:17" ht="15.75" thickBot="1" x14ac:dyDescent="0.3">
      <c r="A352" s="4">
        <v>45932</v>
      </c>
      <c r="B352" s="5">
        <v>0.755463852265846</v>
      </c>
      <c r="C352" s="5">
        <v>0.41134412450000002</v>
      </c>
      <c r="D352" s="5">
        <v>1.3938927889999999</v>
      </c>
      <c r="E352" s="5">
        <v>0.82</v>
      </c>
      <c r="F352" s="2">
        <v>9976755568</v>
      </c>
      <c r="G352" s="5">
        <v>0</v>
      </c>
    </row>
    <row r="353" spans="1:17" ht="15.75" thickBot="1" x14ac:dyDescent="0.3">
      <c r="A353" s="4">
        <v>45933</v>
      </c>
      <c r="B353" s="5">
        <v>0.755463852265846</v>
      </c>
      <c r="C353" s="5">
        <v>0.41134412450000002</v>
      </c>
      <c r="D353" s="5">
        <v>1.3938927889999999</v>
      </c>
      <c r="E353" s="5">
        <v>0.82</v>
      </c>
      <c r="F353" s="2">
        <v>9976755568</v>
      </c>
      <c r="G353" s="5">
        <v>0</v>
      </c>
    </row>
    <row r="354" spans="1:17" ht="15.75" thickBot="1" x14ac:dyDescent="0.3">
      <c r="A354" s="4">
        <v>45934</v>
      </c>
      <c r="B354" s="5">
        <v>0.77259808357123405</v>
      </c>
      <c r="C354" s="5">
        <v>0.45118890659999999</v>
      </c>
      <c r="D354" s="5">
        <v>1.355076806</v>
      </c>
      <c r="E354" s="5">
        <v>0.79</v>
      </c>
      <c r="F354" s="2">
        <v>10074133841</v>
      </c>
      <c r="G354" s="5">
        <v>0</v>
      </c>
    </row>
    <row r="355" spans="1:17" ht="15.75" thickBot="1" x14ac:dyDescent="0.3">
      <c r="A355" s="4">
        <v>45935</v>
      </c>
      <c r="B355" s="5">
        <v>0.76738528057448097</v>
      </c>
      <c r="C355" s="5">
        <v>0.48683950110000002</v>
      </c>
      <c r="D355" s="5">
        <v>1.3460233109999999</v>
      </c>
      <c r="E355" s="5">
        <v>0.76</v>
      </c>
      <c r="F355" s="2">
        <v>10044508132</v>
      </c>
      <c r="G355" s="5">
        <v>0</v>
      </c>
    </row>
    <row r="356" spans="1:17" ht="15.75" thickBot="1" x14ac:dyDescent="0.3">
      <c r="A356" s="4">
        <v>45936</v>
      </c>
      <c r="B356" s="5">
        <v>0.74400822817315704</v>
      </c>
      <c r="C356" s="5">
        <v>0.49627642319999998</v>
      </c>
      <c r="D356" s="5">
        <v>1.327635023</v>
      </c>
      <c r="E356" s="5">
        <v>0.74</v>
      </c>
      <c r="F356" s="2">
        <v>9911650291</v>
      </c>
      <c r="G356" s="5">
        <v>0</v>
      </c>
    </row>
    <row r="357" spans="1:17" ht="15.75" thickBot="1" x14ac:dyDescent="0.3">
      <c r="A357" s="4">
        <v>45937</v>
      </c>
      <c r="B357" s="5">
        <v>0.726348100503173</v>
      </c>
      <c r="C357" s="5">
        <v>0.52668428320000005</v>
      </c>
      <c r="D357" s="5">
        <v>1.36369001</v>
      </c>
      <c r="E357" s="5">
        <v>0.79</v>
      </c>
      <c r="F357" s="2">
        <v>9811283213</v>
      </c>
      <c r="G357" s="5">
        <v>0</v>
      </c>
    </row>
    <row r="358" spans="1:17" ht="15.75" thickBot="1" x14ac:dyDescent="0.3">
      <c r="A358" s="4">
        <v>45938</v>
      </c>
      <c r="B358" s="5">
        <v>0.74724418208756205</v>
      </c>
      <c r="C358" s="5">
        <v>0.52563573630000004</v>
      </c>
      <c r="D358" s="5">
        <v>1.4653453839999999</v>
      </c>
      <c r="E358" s="5">
        <v>0.82</v>
      </c>
      <c r="F358" s="2">
        <v>9930041055</v>
      </c>
      <c r="G358" s="5">
        <v>0</v>
      </c>
    </row>
    <row r="359" spans="1:17" ht="15.75" thickBot="1" x14ac:dyDescent="0.3">
      <c r="A359" s="4">
        <v>45939</v>
      </c>
      <c r="B359" s="5">
        <v>0.74724418208756205</v>
      </c>
      <c r="C359" s="5">
        <v>0.52563573630000004</v>
      </c>
      <c r="D359" s="5">
        <v>1.4653453839999999</v>
      </c>
      <c r="E359" s="5">
        <v>0.82</v>
      </c>
      <c r="F359" s="2">
        <v>9930041055</v>
      </c>
      <c r="G359" s="5">
        <v>0</v>
      </c>
    </row>
    <row r="360" spans="1:17" ht="15.75" thickBot="1" x14ac:dyDescent="0.3">
      <c r="A360" s="4">
        <v>45940</v>
      </c>
      <c r="B360" s="5">
        <v>0.74724418208756205</v>
      </c>
      <c r="C360" s="5">
        <v>0.52563573630000004</v>
      </c>
      <c r="D360" s="5">
        <v>1.4653453839999999</v>
      </c>
      <c r="E360" s="5">
        <v>0.82</v>
      </c>
      <c r="F360" s="2">
        <v>9930041055</v>
      </c>
      <c r="G360" s="5">
        <v>0</v>
      </c>
    </row>
    <row r="361" spans="1:17" ht="15.75" thickBot="1" x14ac:dyDescent="0.3">
      <c r="A361" s="4">
        <v>45941</v>
      </c>
      <c r="B361" s="5">
        <v>0.74569602337786101</v>
      </c>
      <c r="C361" s="5">
        <v>0.54031539289999997</v>
      </c>
      <c r="D361" s="5">
        <v>1.426526344</v>
      </c>
      <c r="E361" s="5">
        <v>0.78</v>
      </c>
      <c r="F361" s="2">
        <v>9921242468</v>
      </c>
      <c r="G361" s="5">
        <v>0</v>
      </c>
    </row>
    <row r="362" spans="1:17" ht="15.75" thickBot="1" x14ac:dyDescent="0.3">
      <c r="A362" s="4">
        <v>45942</v>
      </c>
      <c r="B362" s="5">
        <v>0.71264213216953398</v>
      </c>
      <c r="C362" s="5">
        <v>0.58016017499999994</v>
      </c>
      <c r="D362" s="5">
        <v>1.364735703</v>
      </c>
      <c r="E362" s="5">
        <v>0.78</v>
      </c>
      <c r="F362" s="2">
        <v>9733388646</v>
      </c>
      <c r="G362" s="5">
        <v>0</v>
      </c>
    </row>
    <row r="363" spans="1:17" ht="15.75" thickBot="1" x14ac:dyDescent="0.3">
      <c r="A363" s="4">
        <v>45943</v>
      </c>
      <c r="B363" s="5">
        <v>0.73327087370760602</v>
      </c>
      <c r="C363" s="5">
        <v>0.58540290949999996</v>
      </c>
      <c r="D363" s="5">
        <v>1.3959444249999999</v>
      </c>
      <c r="E363" s="5">
        <v>0.75</v>
      </c>
      <c r="F363" s="2">
        <v>9850627125</v>
      </c>
      <c r="G363" s="5">
        <v>0</v>
      </c>
      <c r="L363" s="10">
        <v>136232751.09999999</v>
      </c>
    </row>
    <row r="364" spans="1:17" ht="15.75" thickBot="1" x14ac:dyDescent="0.3">
      <c r="A364" s="4">
        <v>45944</v>
      </c>
      <c r="B364" s="5">
        <v>0.72853839919122199</v>
      </c>
      <c r="C364" s="5">
        <v>0.57282034680000005</v>
      </c>
      <c r="D364" s="5">
        <v>1.38002972</v>
      </c>
      <c r="E364" s="5">
        <v>0.71</v>
      </c>
      <c r="F364" s="2">
        <v>9823731247</v>
      </c>
      <c r="G364" s="5">
        <v>0</v>
      </c>
    </row>
    <row r="365" spans="1:17" ht="15.75" thickBot="1" x14ac:dyDescent="0.3">
      <c r="A365" s="4">
        <v>45945</v>
      </c>
      <c r="B365" s="5">
        <v>0.74209383538955798</v>
      </c>
      <c r="C365" s="5">
        <v>0.53716975219999996</v>
      </c>
      <c r="D365" s="5">
        <v>1.4231324299999999</v>
      </c>
      <c r="E365" s="5">
        <v>0.72</v>
      </c>
      <c r="F365" s="2">
        <v>9900770301</v>
      </c>
      <c r="G365" s="5">
        <v>0</v>
      </c>
    </row>
    <row r="366" spans="1:17" ht="15.75" thickBot="1" x14ac:dyDescent="0.3">
      <c r="A366" s="4">
        <v>45946</v>
      </c>
      <c r="B366" s="5">
        <v>0.74209383538955798</v>
      </c>
      <c r="C366" s="5">
        <v>0.53716975219999996</v>
      </c>
      <c r="D366" s="5">
        <v>1.4231324299999999</v>
      </c>
      <c r="E366" s="5">
        <v>0.72</v>
      </c>
      <c r="F366" s="2">
        <v>9900770301</v>
      </c>
      <c r="G366" s="5">
        <v>0</v>
      </c>
    </row>
    <row r="367" spans="1:17" ht="15.75" thickBot="1" x14ac:dyDescent="0.3">
      <c r="A367" s="4">
        <v>45947</v>
      </c>
      <c r="B367" s="5">
        <v>0.74209383538955798</v>
      </c>
      <c r="C367" s="5">
        <v>0.53716975219999996</v>
      </c>
      <c r="D367" s="5">
        <v>1.4231324299999999</v>
      </c>
      <c r="E367" s="5">
        <v>0.72</v>
      </c>
      <c r="F367" s="2">
        <v>9900770301</v>
      </c>
      <c r="G367" s="5">
        <v>0</v>
      </c>
      <c r="M367" s="9">
        <f>M347+M341+M312+L144+L130+L2</f>
        <v>72688972.249279335</v>
      </c>
      <c r="Q367" s="9">
        <f>Q347+Q341+Q312+P130+P144+O2</f>
        <v>464790274.16087353</v>
      </c>
    </row>
    <row r="368" spans="1:17" x14ac:dyDescent="0.25">
      <c r="A368" s="1"/>
    </row>
    <row r="369" spans="1:13" x14ac:dyDescent="0.25">
      <c r="A369" s="1"/>
      <c r="G369" s="10">
        <v>11333066.699999999</v>
      </c>
    </row>
    <row r="370" spans="1:13" x14ac:dyDescent="0.25">
      <c r="A370" s="1"/>
    </row>
    <row r="371" spans="1:13" x14ac:dyDescent="0.25">
      <c r="A371" s="1"/>
      <c r="K371" s="11">
        <v>138023514</v>
      </c>
    </row>
    <row r="372" spans="1:13" x14ac:dyDescent="0.25">
      <c r="A372" s="1"/>
      <c r="M372" s="9">
        <f>M367+Q367</f>
        <v>537479246.41015291</v>
      </c>
    </row>
    <row r="373" spans="1:13" x14ac:dyDescent="0.25">
      <c r="A373" s="1"/>
      <c r="G373" s="10">
        <v>537479246.39999998</v>
      </c>
    </row>
    <row r="374" spans="1:13" x14ac:dyDescent="0.25">
      <c r="A374" s="1"/>
    </row>
    <row r="375" spans="1:13" x14ac:dyDescent="0.25">
      <c r="A375" s="1"/>
      <c r="K375" t="s">
        <v>7</v>
      </c>
    </row>
    <row r="376" spans="1:13" x14ac:dyDescent="0.25">
      <c r="A376" s="1"/>
    </row>
    <row r="377" spans="1:13" x14ac:dyDescent="0.25">
      <c r="A377" s="1"/>
    </row>
    <row r="378" spans="1:13" x14ac:dyDescent="0.25">
      <c r="A378" s="1"/>
    </row>
    <row r="379" spans="1:13" x14ac:dyDescent="0.25">
      <c r="A379" s="1"/>
    </row>
    <row r="380" spans="1:13" x14ac:dyDescent="0.25">
      <c r="A380" s="1"/>
      <c r="K380">
        <f>72688972.25</f>
        <v>72688972.25</v>
      </c>
    </row>
    <row r="381" spans="1:13" x14ac:dyDescent="0.25">
      <c r="A381" s="1"/>
      <c r="K381">
        <f>467273910.74</f>
        <v>467273910.74000001</v>
      </c>
    </row>
    <row r="382" spans="1:13" x14ac:dyDescent="0.25">
      <c r="A382" s="1"/>
      <c r="K382" s="7">
        <f>K381+K380</f>
        <v>539962882.99000001</v>
      </c>
    </row>
    <row r="383" spans="1:13" x14ac:dyDescent="0.25">
      <c r="A383" s="1"/>
    </row>
    <row r="384" spans="1:13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6"/>
  <sheetViews>
    <sheetView rightToLeft="1" tabSelected="1" topLeftCell="A10" workbookViewId="0">
      <selection activeCell="L30" sqref="L30"/>
    </sheetView>
  </sheetViews>
  <sheetFormatPr defaultRowHeight="15" x14ac:dyDescent="0.25"/>
  <cols>
    <col min="1" max="1" width="12.85546875" bestFit="1" customWidth="1"/>
    <col min="2" max="2" width="15.28515625" bestFit="1" customWidth="1"/>
    <col min="3" max="3" width="16.85546875" bestFit="1" customWidth="1"/>
    <col min="4" max="4" width="22.28515625" bestFit="1" customWidth="1"/>
    <col min="5" max="5" width="14.28515625" bestFit="1" customWidth="1"/>
    <col min="6" max="6" width="15.28515625" bestFit="1" customWidth="1"/>
    <col min="7" max="7" width="16.85546875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15</v>
      </c>
      <c r="E1" t="s">
        <v>16</v>
      </c>
      <c r="F1" t="s">
        <v>17</v>
      </c>
      <c r="G1" t="s">
        <v>11</v>
      </c>
    </row>
    <row r="2" spans="1:7" x14ac:dyDescent="0.25">
      <c r="A2" t="s">
        <v>12</v>
      </c>
      <c r="B2" s="6">
        <v>717063351</v>
      </c>
      <c r="C2" s="6"/>
      <c r="D2" s="6"/>
      <c r="E2" s="12">
        <v>14341267.01</v>
      </c>
      <c r="F2" s="12">
        <v>40556771.43</v>
      </c>
    </row>
    <row r="3" spans="1:7" x14ac:dyDescent="0.25">
      <c r="A3" t="s">
        <v>13</v>
      </c>
      <c r="B3" s="6"/>
      <c r="C3" s="6">
        <v>3239983306</v>
      </c>
      <c r="D3" s="6"/>
      <c r="E3" s="12">
        <v>5982080.5460000001</v>
      </c>
      <c r="F3" s="12">
        <v>75352632.120000005</v>
      </c>
    </row>
    <row r="4" spans="1:7" x14ac:dyDescent="0.25">
      <c r="A4" t="s">
        <v>14</v>
      </c>
      <c r="B4" s="6"/>
      <c r="C4" s="6"/>
      <c r="D4" s="6">
        <v>4800958302</v>
      </c>
      <c r="E4" s="6">
        <f>E3+E2</f>
        <v>20323347.556000002</v>
      </c>
      <c r="F4" s="6">
        <f>F3+F2</f>
        <v>115909403.55000001</v>
      </c>
      <c r="G4" s="9">
        <f>D4-E4-F4</f>
        <v>4664725550.8940001</v>
      </c>
    </row>
    <row r="8" spans="1:7" x14ac:dyDescent="0.25">
      <c r="A8" t="s">
        <v>8</v>
      </c>
      <c r="D8" t="s">
        <v>15</v>
      </c>
      <c r="E8" t="s">
        <v>16</v>
      </c>
      <c r="F8" t="s">
        <v>17</v>
      </c>
      <c r="G8" t="s">
        <v>11</v>
      </c>
    </row>
    <row r="9" spans="1:7" x14ac:dyDescent="0.25">
      <c r="A9" t="s">
        <v>12</v>
      </c>
      <c r="B9" s="6">
        <v>203000000</v>
      </c>
      <c r="E9" s="12">
        <v>40600000</v>
      </c>
      <c r="F9" s="12">
        <v>114815861</v>
      </c>
    </row>
    <row r="10" spans="1:7" x14ac:dyDescent="0.25">
      <c r="A10" t="s">
        <v>18</v>
      </c>
      <c r="C10" s="6">
        <v>10000000</v>
      </c>
      <c r="E10" s="12">
        <v>12941165.689999999</v>
      </c>
      <c r="F10" s="12">
        <v>101019557</v>
      </c>
    </row>
    <row r="11" spans="1:7" x14ac:dyDescent="0.25">
      <c r="A11" t="s">
        <v>19</v>
      </c>
      <c r="C11" s="6">
        <v>10000000</v>
      </c>
      <c r="E11" s="12">
        <v>12172075.48</v>
      </c>
      <c r="F11" s="12">
        <v>143262858</v>
      </c>
    </row>
    <row r="12" spans="1:7" x14ac:dyDescent="0.25">
      <c r="A12" t="s">
        <v>21</v>
      </c>
      <c r="C12" s="6">
        <v>20000000</v>
      </c>
      <c r="E12" s="12">
        <v>5976827.9409999996</v>
      </c>
      <c r="F12" s="12">
        <v>94832818.689999998</v>
      </c>
    </row>
    <row r="13" spans="1:7" x14ac:dyDescent="0.25">
      <c r="A13" t="s">
        <v>20</v>
      </c>
      <c r="C13" s="6">
        <v>400000000</v>
      </c>
      <c r="E13" s="12">
        <v>564637.38809999998</v>
      </c>
      <c r="F13" s="12">
        <v>5975794.233</v>
      </c>
    </row>
    <row r="14" spans="1:7" x14ac:dyDescent="0.25">
      <c r="A14" t="s">
        <v>22</v>
      </c>
      <c r="C14" s="6">
        <v>400000000</v>
      </c>
      <c r="E14" s="12">
        <v>434265.75030000001</v>
      </c>
      <c r="F14" s="12">
        <v>4883385.2460000003</v>
      </c>
    </row>
    <row r="15" spans="1:7" x14ac:dyDescent="0.25">
      <c r="A15" t="s">
        <v>23</v>
      </c>
      <c r="D15" s="6">
        <v>9900770301</v>
      </c>
      <c r="E15" s="6">
        <f>SUM(E9:E14)</f>
        <v>72688972.249400005</v>
      </c>
      <c r="F15" s="6">
        <f>SUM(F9:F14)</f>
        <v>464790274.16899997</v>
      </c>
      <c r="G15" s="9">
        <f>D15-E15-F15</f>
        <v>9363291054.5816002</v>
      </c>
    </row>
    <row r="19" spans="1:7" x14ac:dyDescent="0.25">
      <c r="A19" t="s">
        <v>8</v>
      </c>
      <c r="D19" t="s">
        <v>15</v>
      </c>
      <c r="E19" t="s">
        <v>16</v>
      </c>
      <c r="F19" t="s">
        <v>17</v>
      </c>
      <c r="G19" t="s">
        <v>11</v>
      </c>
    </row>
    <row r="20" spans="1:7" x14ac:dyDescent="0.25">
      <c r="A20" t="s">
        <v>24</v>
      </c>
      <c r="B20" s="6">
        <v>500000000</v>
      </c>
      <c r="E20" s="10">
        <v>1086253.709</v>
      </c>
      <c r="F20" s="10">
        <v>16943162.539999999</v>
      </c>
    </row>
    <row r="21" spans="1:7" x14ac:dyDescent="0.25">
      <c r="A21" t="s">
        <v>23</v>
      </c>
      <c r="D21" s="10">
        <v>567772650.20000005</v>
      </c>
      <c r="E21" s="6">
        <f>E20</f>
        <v>1086253.709</v>
      </c>
      <c r="F21" s="6">
        <f>F20</f>
        <v>16943162.539999999</v>
      </c>
      <c r="G21" s="9">
        <f>D21-E21-F21</f>
        <v>549743233.95100009</v>
      </c>
    </row>
    <row r="22" spans="1:7" x14ac:dyDescent="0.25">
      <c r="C22" s="6"/>
      <c r="E22" s="12"/>
      <c r="F22" s="12"/>
    </row>
    <row r="23" spans="1:7" x14ac:dyDescent="0.25">
      <c r="C23" s="6"/>
      <c r="E23" s="12"/>
      <c r="F23" s="12"/>
    </row>
    <row r="24" spans="1:7" x14ac:dyDescent="0.25">
      <c r="A24" t="s">
        <v>8</v>
      </c>
      <c r="D24" t="s">
        <v>15</v>
      </c>
      <c r="E24" t="s">
        <v>16</v>
      </c>
      <c r="F24" t="s">
        <v>17</v>
      </c>
      <c r="G24" t="s">
        <v>11</v>
      </c>
    </row>
    <row r="25" spans="1:7" x14ac:dyDescent="0.25">
      <c r="A25" t="s">
        <v>25</v>
      </c>
      <c r="B25" s="6">
        <v>200000000</v>
      </c>
      <c r="E25" s="10">
        <v>1634254.017</v>
      </c>
      <c r="F25" s="10">
        <v>9698812.6809999999</v>
      </c>
    </row>
    <row r="26" spans="1:7" x14ac:dyDescent="0.25">
      <c r="A26" t="s">
        <v>23</v>
      </c>
      <c r="D26" s="10">
        <v>258432742.69999999</v>
      </c>
      <c r="E26" s="6">
        <f>E25</f>
        <v>1634254.017</v>
      </c>
      <c r="F26" s="6">
        <f>F25</f>
        <v>9698812.6809999999</v>
      </c>
      <c r="G26" s="9">
        <f>D26-E26-F26</f>
        <v>247099676.002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(3)</vt:lpstr>
      <vt:lpstr>Invoices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S.Namati</dc:creator>
  <cp:lastModifiedBy>P.Yousefpoor</cp:lastModifiedBy>
  <dcterms:created xsi:type="dcterms:W3CDTF">2025-10-25T15:30:24Z</dcterms:created>
  <dcterms:modified xsi:type="dcterms:W3CDTF">2025-10-25T16:01:48Z</dcterms:modified>
</cp:coreProperties>
</file>
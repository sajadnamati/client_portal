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Sajjad Personal\Backup-Necessary\My Career\Website\Render\Design locally\static\"/>
    </mc:Choice>
  </mc:AlternateContent>
  <bookViews>
    <workbookView xWindow="0" yWindow="0" windowWidth="23040" windowHeight="9060"/>
  </bookViews>
  <sheets>
    <sheet name="ARShafaat" sheetId="1" r:id="rId1"/>
  </sheets>
  <calcPr calcId="0"/>
</workbook>
</file>

<file path=xl/calcChain.xml><?xml version="1.0" encoding="utf-8"?>
<calcChain xmlns="http://schemas.openxmlformats.org/spreadsheetml/2006/main">
  <c r="K342" i="1" l="1"/>
  <c r="K340" i="1"/>
  <c r="M340" i="1" s="1"/>
  <c r="N340" i="1" s="1"/>
  <c r="J340" i="1"/>
  <c r="J309" i="1"/>
  <c r="J2" i="1"/>
  <c r="L310" i="1"/>
  <c r="L309" i="1"/>
  <c r="O309" i="1" s="1"/>
  <c r="O310" i="1" s="1"/>
  <c r="M2" i="1"/>
  <c r="K2" i="1"/>
  <c r="M4" i="1" s="1"/>
  <c r="M6" i="1" s="1"/>
  <c r="N6" i="1" s="1"/>
  <c r="L5" i="1" s="1"/>
  <c r="L8" i="1" s="1"/>
  <c r="O8" i="1" s="1"/>
  <c r="I2" i="1"/>
  <c r="J342" i="1" l="1"/>
  <c r="K343" i="1" s="1"/>
  <c r="K344" i="1" s="1"/>
  <c r="K347" i="1" s="1"/>
  <c r="N343" i="1"/>
  <c r="L344" i="1" s="1"/>
  <c r="K345" i="1" s="1"/>
  <c r="N311" i="1"/>
  <c r="N314" i="1" s="1"/>
  <c r="N316" i="1" s="1"/>
  <c r="O316" i="1" s="1"/>
  <c r="N337" i="1" s="1"/>
  <c r="L312" i="1"/>
  <c r="L314" i="1" s="1"/>
  <c r="O314" i="1" s="1"/>
  <c r="P314" i="1" s="1"/>
  <c r="M8" i="1"/>
  <c r="O4" i="1"/>
  <c r="O5" i="1" s="1"/>
  <c r="O337" i="1" s="1"/>
  <c r="K337" i="1" l="1"/>
  <c r="J337" i="1" s="1"/>
  <c r="K3" i="1" s="1"/>
  <c r="N8" i="1"/>
  <c r="K348" i="1" l="1"/>
  <c r="K349" i="1"/>
  <c r="K350" i="1" s="1"/>
</calcChain>
</file>

<file path=xl/sharedStrings.xml><?xml version="1.0" encoding="utf-8"?>
<sst xmlns="http://schemas.openxmlformats.org/spreadsheetml/2006/main" count="9" uniqueCount="9">
  <si>
    <t>Date</t>
  </si>
  <si>
    <t>Ret</t>
  </si>
  <si>
    <t>Bourse Historical Ret</t>
  </si>
  <si>
    <t>Gold Historical</t>
  </si>
  <si>
    <t>Dollar Historical</t>
  </si>
  <si>
    <t>Historical Ret</t>
  </si>
  <si>
    <t>Historical Yearly Ret</t>
  </si>
  <si>
    <t>Historical Asset Value</t>
  </si>
  <si>
    <t>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</si>
</sst>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70" formatCode="_(* #,##0.0000_);_(* \(#,##0.0000\);_(* &quot;-&quot;??_);_(@_)"/>
    <numFmt numFmtId="171" formatCode="_(* #,##0.00000_);_(* \(#,##0.00000\);_(* &quot;-&quot;??_);_(@_)"/>
    <numFmt numFmtId="172" formatCode="_(* #,##0.000000_);_(* \(#,##0.000000\);_(* &quot;-&quot;??_);_(@_)"/>
    <numFmt numFmtId="17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18" fillId="0" borderId="10" xfId="0" applyNumberFormat="1" applyFont="1" applyBorder="1" applyAlignment="1">
      <alignment horizontal="right" wrapText="1"/>
    </xf>
    <xf numFmtId="43" fontId="0" fillId="0" borderId="0" xfId="1" applyFont="1"/>
    <xf numFmtId="43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4" fontId="0" fillId="0" borderId="0" xfId="2" applyNumberFormat="1" applyFont="1"/>
    <xf numFmtId="174" fontId="0" fillId="0" borderId="0" xfId="0" applyNumberForma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89"/>
  <sheetViews>
    <sheetView tabSelected="1" workbookViewId="0">
      <selection activeCell="J11" sqref="J11"/>
    </sheetView>
  </sheetViews>
  <sheetFormatPr defaultRowHeight="15" x14ac:dyDescent="0.25"/>
  <cols>
    <col min="1" max="1" width="16.140625" customWidth="1"/>
    <col min="8" max="8" width="17.28515625" customWidth="1"/>
    <col min="9" max="9" width="11.7109375" bestFit="1" customWidth="1"/>
    <col min="10" max="11" width="15.28515625" bestFit="1" customWidth="1"/>
    <col min="14" max="14" width="14.28515625" bestFit="1" customWidth="1"/>
    <col min="15" max="15" width="15.28515625" bestFit="1" customWidth="1"/>
    <col min="16" max="16" width="15" bestFit="1" customWidth="1"/>
  </cols>
  <sheetData>
    <row r="1" spans="1:15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5" ht="15.75" thickBot="1" x14ac:dyDescent="0.3">
      <c r="A2" s="1">
        <v>45557</v>
      </c>
      <c r="B2">
        <v>1.18E-2</v>
      </c>
      <c r="C2">
        <v>0</v>
      </c>
      <c r="D2">
        <v>0</v>
      </c>
      <c r="E2">
        <v>0</v>
      </c>
      <c r="H2">
        <v>1333936706</v>
      </c>
      <c r="I2">
        <f>H2</f>
        <v>1333936706</v>
      </c>
      <c r="J2">
        <f>-I2</f>
        <v>-1333936706</v>
      </c>
      <c r="K2" s="2">
        <f ca="1">TODAY()-A2</f>
        <v>335</v>
      </c>
      <c r="M2">
        <f>(1+B337)/(1+B2)-1</f>
        <v>0.5350859853726031</v>
      </c>
      <c r="O2">
        <v>0.02</v>
      </c>
    </row>
    <row r="3" spans="1:15" ht="15.75" thickBot="1" x14ac:dyDescent="0.3">
      <c r="A3" s="1">
        <v>45558</v>
      </c>
      <c r="B3">
        <v>1.9900000000000001E-2</v>
      </c>
      <c r="C3">
        <v>6.4319566690000003E-3</v>
      </c>
      <c r="D3">
        <v>0</v>
      </c>
      <c r="E3">
        <v>1.04E-2</v>
      </c>
      <c r="H3">
        <v>1344607001</v>
      </c>
      <c r="I3">
        <v>0</v>
      </c>
      <c r="K3">
        <f ca="1">XIRR(J2:J337,A2:A337)</f>
        <v>0.45602980256080627</v>
      </c>
    </row>
    <row r="4" spans="1:15" ht="15.75" thickBot="1" x14ac:dyDescent="0.3">
      <c r="A4" s="1">
        <v>45559</v>
      </c>
      <c r="B4">
        <v>3.1E-2</v>
      </c>
      <c r="C4">
        <v>3.4529451590000003E-2</v>
      </c>
      <c r="D4">
        <v>7.464680653E-3</v>
      </c>
      <c r="E4">
        <v>1.7999999999999999E-2</v>
      </c>
      <c r="H4">
        <v>1359223644</v>
      </c>
      <c r="I4">
        <v>0</v>
      </c>
      <c r="M4" s="4">
        <f ca="1">(1+M2)^(365/K2)-1</f>
        <v>0.59514918899583513</v>
      </c>
      <c r="O4" s="3">
        <f ca="1">(1+O2)^(K2/365)-1</f>
        <v>1.8341184854442139E-2</v>
      </c>
    </row>
    <row r="5" spans="1:15" ht="15.75" thickBot="1" x14ac:dyDescent="0.3">
      <c r="A5" s="1">
        <v>45560</v>
      </c>
      <c r="B5">
        <v>2.7099999999999999E-2</v>
      </c>
      <c r="C5">
        <v>3.1144211240000001E-2</v>
      </c>
      <c r="D5">
        <v>2.4415226719999999E-2</v>
      </c>
      <c r="E5">
        <v>1.18E-2</v>
      </c>
      <c r="H5">
        <v>1354076368</v>
      </c>
      <c r="I5">
        <v>0</v>
      </c>
      <c r="L5">
        <f ca="1">MAX(N6,0.75*M2)</f>
        <v>0.45083493624318471</v>
      </c>
      <c r="O5">
        <f ca="1">O4*I2</f>
        <v>24465979.708871637</v>
      </c>
    </row>
    <row r="6" spans="1:15" ht="15.75" thickBot="1" x14ac:dyDescent="0.3">
      <c r="A6" s="1">
        <v>45561</v>
      </c>
      <c r="B6">
        <v>2.8799999999999999E-2</v>
      </c>
      <c r="C6">
        <v>3.1144211240000001E-2</v>
      </c>
      <c r="D6">
        <v>1.4727242830000001E-2</v>
      </c>
      <c r="E6">
        <v>1.8499999999999999E-2</v>
      </c>
      <c r="H6">
        <v>1356314679</v>
      </c>
      <c r="I6">
        <v>0</v>
      </c>
      <c r="M6">
        <f ca="1">MAX(0.5,0.75*M4)</f>
        <v>0.5</v>
      </c>
      <c r="N6" s="5">
        <f ca="1">(1+M6)^(K2/365)-1</f>
        <v>0.45083493624318471</v>
      </c>
    </row>
    <row r="7" spans="1:15" ht="15.75" thickBot="1" x14ac:dyDescent="0.3">
      <c r="A7" s="1">
        <v>45562</v>
      </c>
      <c r="B7">
        <v>2.8799999999999999E-2</v>
      </c>
      <c r="C7">
        <v>3.1144211240000001E-2</v>
      </c>
      <c r="D7">
        <v>1.4727242830000001E-2</v>
      </c>
      <c r="E7">
        <v>1.8499999999999999E-2</v>
      </c>
      <c r="H7">
        <v>1356314679</v>
      </c>
      <c r="I7">
        <v>0</v>
      </c>
    </row>
    <row r="8" spans="1:15" ht="15.75" thickBot="1" x14ac:dyDescent="0.3">
      <c r="A8" s="1">
        <v>45563</v>
      </c>
      <c r="B8">
        <v>6.1999999999999998E-3</v>
      </c>
      <c r="C8">
        <v>2.098849018E-2</v>
      </c>
      <c r="D8">
        <v>1.4727242830000001E-2</v>
      </c>
      <c r="E8">
        <v>2.64E-2</v>
      </c>
      <c r="H8">
        <v>1326560333</v>
      </c>
      <c r="I8">
        <v>0</v>
      </c>
      <c r="L8">
        <f ca="1">M2-L5</f>
        <v>8.4251049129418387E-2</v>
      </c>
      <c r="M8" s="3">
        <f ca="1">M4-M6</f>
        <v>9.5149188995835132E-2</v>
      </c>
      <c r="N8" s="6">
        <f ca="1">(1+M8)^(K2/365)-1</f>
        <v>8.699840348318566E-2</v>
      </c>
      <c r="O8" s="3">
        <f ca="1">L8*I2</f>
        <v>112385566.95274054</v>
      </c>
    </row>
    <row r="9" spans="1:15" ht="15.75" thickBot="1" x14ac:dyDescent="0.3">
      <c r="A9" s="1">
        <v>45564</v>
      </c>
      <c r="B9">
        <v>1.49E-2</v>
      </c>
      <c r="C9">
        <v>1.25253893E-2</v>
      </c>
      <c r="D9">
        <v>5.6815846089999997E-2</v>
      </c>
      <c r="E9">
        <v>2.3E-2</v>
      </c>
      <c r="H9">
        <v>1338042318</v>
      </c>
      <c r="I9">
        <v>0</v>
      </c>
    </row>
    <row r="10" spans="1:15" ht="15.75" thickBot="1" x14ac:dyDescent="0.3">
      <c r="A10" s="1">
        <v>45565</v>
      </c>
      <c r="B10">
        <v>4.1000000000000003E-3</v>
      </c>
      <c r="C10">
        <v>1.184834123E-2</v>
      </c>
      <c r="D10">
        <v>3.2585609160000001E-2</v>
      </c>
      <c r="E10">
        <v>2.8899999999999999E-2</v>
      </c>
      <c r="H10">
        <v>1323829444</v>
      </c>
      <c r="I10">
        <v>0</v>
      </c>
    </row>
    <row r="11" spans="1:15" ht="15.75" thickBot="1" x14ac:dyDescent="0.3">
      <c r="A11" s="1">
        <v>45566</v>
      </c>
      <c r="B11">
        <v>2.3E-3</v>
      </c>
      <c r="C11">
        <v>8.8016249150000003E-3</v>
      </c>
      <c r="D11">
        <v>3.9402825549999999E-2</v>
      </c>
      <c r="E11">
        <v>5.6599999999999998E-2</v>
      </c>
      <c r="H11">
        <v>1321491943</v>
      </c>
      <c r="I11">
        <v>0</v>
      </c>
    </row>
    <row r="12" spans="1:15" ht="15.75" thickBot="1" x14ac:dyDescent="0.3">
      <c r="A12" s="1">
        <v>45567</v>
      </c>
      <c r="B12">
        <v>3.44E-2</v>
      </c>
      <c r="C12">
        <v>4.7393364929999996E-3</v>
      </c>
      <c r="D12">
        <v>5.3109198789999999E-2</v>
      </c>
      <c r="E12">
        <v>5.6899999999999999E-2</v>
      </c>
      <c r="H12">
        <v>1363789076</v>
      </c>
      <c r="I12">
        <v>0</v>
      </c>
    </row>
    <row r="13" spans="1:15" ht="15.75" thickBot="1" x14ac:dyDescent="0.3">
      <c r="A13" s="1">
        <v>45568</v>
      </c>
      <c r="B13">
        <v>3.3799999999999997E-2</v>
      </c>
      <c r="C13">
        <v>4.7393364929999996E-3</v>
      </c>
      <c r="D13">
        <v>6.7161571449999999E-2</v>
      </c>
      <c r="E13">
        <v>6.8400000000000002E-2</v>
      </c>
      <c r="H13">
        <v>1362963892</v>
      </c>
      <c r="I13">
        <v>0</v>
      </c>
    </row>
    <row r="14" spans="1:15" ht="15.75" thickBot="1" x14ac:dyDescent="0.3">
      <c r="A14" s="1">
        <v>45569</v>
      </c>
      <c r="B14">
        <v>3.3799999999999997E-2</v>
      </c>
      <c r="C14">
        <v>4.7393364929999996E-3</v>
      </c>
      <c r="D14">
        <v>6.7161571449999999E-2</v>
      </c>
      <c r="E14">
        <v>6.8400000000000002E-2</v>
      </c>
      <c r="H14">
        <v>1362963892</v>
      </c>
      <c r="I14">
        <v>0</v>
      </c>
    </row>
    <row r="15" spans="1:15" ht="15.75" thickBot="1" x14ac:dyDescent="0.3">
      <c r="A15" s="1">
        <v>45570</v>
      </c>
      <c r="B15">
        <v>3.2599999999999997E-2</v>
      </c>
      <c r="C15">
        <v>-1.015572106E-3</v>
      </c>
      <c r="D15">
        <v>6.7161571449999999E-2</v>
      </c>
      <c r="E15">
        <v>5.6599999999999998E-2</v>
      </c>
      <c r="H15">
        <v>1361417322</v>
      </c>
      <c r="I15">
        <v>0</v>
      </c>
    </row>
    <row r="16" spans="1:15" ht="15.75" thickBot="1" x14ac:dyDescent="0.3">
      <c r="A16" s="1">
        <v>45571</v>
      </c>
      <c r="B16">
        <v>5.2999999999999999E-2</v>
      </c>
      <c r="C16">
        <v>-6.7704807040000004E-3</v>
      </c>
      <c r="D16">
        <v>7.2618770299999996E-2</v>
      </c>
      <c r="E16">
        <v>7.3400000000000007E-2</v>
      </c>
      <c r="H16">
        <v>1388339058</v>
      </c>
      <c r="I16">
        <v>0</v>
      </c>
    </row>
    <row r="17" spans="1:9" ht="15.75" thickBot="1" x14ac:dyDescent="0.3">
      <c r="A17" s="1">
        <v>45572</v>
      </c>
      <c r="B17">
        <v>4.0899999999999999E-2</v>
      </c>
      <c r="C17">
        <v>-4.0622884219999999E-3</v>
      </c>
      <c r="D17">
        <v>0.1103738164</v>
      </c>
      <c r="E17">
        <v>6.1600000000000002E-2</v>
      </c>
      <c r="H17">
        <v>1372369944</v>
      </c>
      <c r="I17">
        <v>0</v>
      </c>
    </row>
    <row r="18" spans="1:9" ht="15.75" thickBot="1" x14ac:dyDescent="0.3">
      <c r="A18" s="1">
        <v>45573</v>
      </c>
      <c r="B18">
        <v>3.0200000000000001E-2</v>
      </c>
      <c r="C18">
        <v>4.0622884219999999E-3</v>
      </c>
      <c r="D18">
        <v>9.1045808950000001E-2</v>
      </c>
      <c r="E18">
        <v>5.6599999999999998E-2</v>
      </c>
      <c r="H18">
        <v>1358272284</v>
      </c>
      <c r="I18">
        <v>0</v>
      </c>
    </row>
    <row r="19" spans="1:9" ht="15.75" thickBot="1" x14ac:dyDescent="0.3">
      <c r="A19" s="1">
        <v>45574</v>
      </c>
      <c r="B19">
        <v>3.2500000000000001E-2</v>
      </c>
      <c r="C19">
        <v>5.7549085990000002E-3</v>
      </c>
      <c r="D19">
        <v>7.4561163109999995E-2</v>
      </c>
      <c r="E19">
        <v>6.5000000000000002E-2</v>
      </c>
      <c r="H19">
        <v>1361304184</v>
      </c>
      <c r="I19">
        <v>0</v>
      </c>
    </row>
    <row r="20" spans="1:9" ht="15.75" thickBot="1" x14ac:dyDescent="0.3">
      <c r="A20" s="1">
        <v>45575</v>
      </c>
      <c r="B20">
        <v>6.25E-2</v>
      </c>
      <c r="C20">
        <v>5.7549085990000002E-3</v>
      </c>
      <c r="D20">
        <v>7.5952012279999995E-2</v>
      </c>
      <c r="E20">
        <v>7.5899999999999995E-2</v>
      </c>
      <c r="H20">
        <v>1400827870</v>
      </c>
      <c r="I20">
        <v>0</v>
      </c>
    </row>
    <row r="21" spans="1:9" ht="15.75" thickBot="1" x14ac:dyDescent="0.3">
      <c r="A21" s="1">
        <v>45576</v>
      </c>
      <c r="B21">
        <v>6.25E-2</v>
      </c>
      <c r="C21">
        <v>5.7549085990000002E-3</v>
      </c>
      <c r="D21">
        <v>7.5952012279999995E-2</v>
      </c>
      <c r="E21">
        <v>7.5899999999999995E-2</v>
      </c>
      <c r="H21">
        <v>1400827870</v>
      </c>
      <c r="I21">
        <v>0</v>
      </c>
    </row>
    <row r="22" spans="1:9" ht="15.75" thickBot="1" x14ac:dyDescent="0.3">
      <c r="A22" s="1">
        <v>45577</v>
      </c>
      <c r="B22">
        <v>0.1479</v>
      </c>
      <c r="C22">
        <v>5.7549085990000002E-3</v>
      </c>
      <c r="D22">
        <v>7.5952012279999995E-2</v>
      </c>
      <c r="E22">
        <v>5.2400000000000002E-2</v>
      </c>
      <c r="H22">
        <v>2831755729</v>
      </c>
      <c r="I22">
        <v>0</v>
      </c>
    </row>
    <row r="23" spans="1:9" ht="15.75" thickBot="1" x14ac:dyDescent="0.3">
      <c r="A23" s="1">
        <v>45578</v>
      </c>
      <c r="B23">
        <v>6.7299999999999999E-2</v>
      </c>
      <c r="C23">
        <v>5.7549085990000002E-3</v>
      </c>
      <c r="D23">
        <v>7.7425079130000005E-2</v>
      </c>
      <c r="E23">
        <v>6.13E-2</v>
      </c>
      <c r="H23">
        <v>1407102896</v>
      </c>
      <c r="I23">
        <v>0</v>
      </c>
    </row>
    <row r="24" spans="1:9" ht="15.75" thickBot="1" x14ac:dyDescent="0.3">
      <c r="A24" s="1">
        <v>45579</v>
      </c>
      <c r="B24">
        <v>5.8400000000000001E-2</v>
      </c>
      <c r="C24">
        <v>5.7549085990000002E-3</v>
      </c>
      <c r="D24">
        <v>8.8188744400000005E-2</v>
      </c>
      <c r="E24">
        <v>6.5000000000000002E-2</v>
      </c>
      <c r="H24">
        <v>1395422660</v>
      </c>
      <c r="I24">
        <v>0</v>
      </c>
    </row>
    <row r="25" spans="1:9" ht="15.75" thickBot="1" x14ac:dyDescent="0.3">
      <c r="A25" s="1">
        <v>45580</v>
      </c>
      <c r="B25">
        <v>5.8299999999999998E-2</v>
      </c>
      <c r="C25">
        <v>5.7549085990000002E-3</v>
      </c>
      <c r="D25">
        <v>0.10798265210000001</v>
      </c>
      <c r="E25">
        <v>5.8799999999999998E-2</v>
      </c>
      <c r="H25">
        <v>1395247243</v>
      </c>
      <c r="I25">
        <v>0</v>
      </c>
    </row>
    <row r="26" spans="1:9" ht="15.75" thickBot="1" x14ac:dyDescent="0.3">
      <c r="A26" s="1">
        <v>45581</v>
      </c>
      <c r="B26">
        <v>4.9299999999999997E-2</v>
      </c>
      <c r="C26">
        <v>5.7549085990000002E-3</v>
      </c>
      <c r="D26">
        <v>0.1024877701</v>
      </c>
      <c r="E26">
        <v>6.8400000000000002E-2</v>
      </c>
      <c r="H26">
        <v>1383353186</v>
      </c>
      <c r="I26">
        <v>0</v>
      </c>
    </row>
    <row r="27" spans="1:9" ht="15.75" thickBot="1" x14ac:dyDescent="0.3">
      <c r="A27" s="1">
        <v>45582</v>
      </c>
      <c r="B27">
        <v>4.0599999999999997E-2</v>
      </c>
      <c r="C27">
        <v>5.7549085990000002E-3</v>
      </c>
      <c r="D27">
        <v>0.1204077997</v>
      </c>
      <c r="E27">
        <v>7.3400000000000007E-2</v>
      </c>
      <c r="H27">
        <v>1371960931</v>
      </c>
      <c r="I27">
        <v>0</v>
      </c>
    </row>
    <row r="28" spans="1:9" ht="15.75" thickBot="1" x14ac:dyDescent="0.3">
      <c r="A28" s="1">
        <v>45583</v>
      </c>
      <c r="B28">
        <v>4.0599999999999997E-2</v>
      </c>
      <c r="C28">
        <v>5.7549085990000002E-3</v>
      </c>
      <c r="D28">
        <v>0.1204077997</v>
      </c>
      <c r="E28">
        <v>7.3400000000000007E-2</v>
      </c>
      <c r="H28">
        <v>1371960931</v>
      </c>
      <c r="I28">
        <v>0</v>
      </c>
    </row>
    <row r="29" spans="1:9" ht="15.75" thickBot="1" x14ac:dyDescent="0.3">
      <c r="A29" s="1">
        <v>45584</v>
      </c>
      <c r="B29">
        <v>4.5600000000000002E-2</v>
      </c>
      <c r="C29">
        <v>5.7549085990000002E-3</v>
      </c>
      <c r="D29">
        <v>0.1204077997</v>
      </c>
      <c r="E29">
        <v>7.3400000000000007E-2</v>
      </c>
      <c r="H29">
        <v>1378521935</v>
      </c>
      <c r="I29">
        <v>0</v>
      </c>
    </row>
    <row r="30" spans="1:9" ht="15.75" thickBot="1" x14ac:dyDescent="0.3">
      <c r="A30" s="1">
        <v>45585</v>
      </c>
      <c r="B30">
        <v>7.5800000000000006E-2</v>
      </c>
      <c r="C30">
        <v>5.7549085990000002E-3</v>
      </c>
      <c r="D30">
        <v>0.14780684329999999</v>
      </c>
      <c r="E30">
        <v>8.0100000000000005E-2</v>
      </c>
      <c r="H30">
        <v>1418336095</v>
      </c>
      <c r="I30">
        <v>0</v>
      </c>
    </row>
    <row r="31" spans="1:9" ht="15.75" thickBot="1" x14ac:dyDescent="0.3">
      <c r="A31" s="1">
        <v>45586</v>
      </c>
      <c r="B31">
        <v>7.2400000000000006E-2</v>
      </c>
      <c r="C31">
        <v>5.7549085990000002E-3</v>
      </c>
      <c r="D31">
        <v>0.16826876960000001</v>
      </c>
      <c r="E31">
        <v>8.9899999999999994E-2</v>
      </c>
      <c r="H31">
        <v>1413875733</v>
      </c>
      <c r="I31">
        <v>0</v>
      </c>
    </row>
    <row r="32" spans="1:9" ht="15.75" thickBot="1" x14ac:dyDescent="0.3">
      <c r="A32" s="1">
        <v>45587</v>
      </c>
      <c r="B32">
        <v>6.9099999999999995E-2</v>
      </c>
      <c r="C32">
        <v>5.7549085990000002E-3</v>
      </c>
      <c r="D32">
        <v>0.16869356099999999</v>
      </c>
      <c r="E32">
        <v>0.1154</v>
      </c>
      <c r="H32">
        <v>1409466386</v>
      </c>
      <c r="I32">
        <v>0</v>
      </c>
    </row>
    <row r="33" spans="1:9" ht="15.75" thickBot="1" x14ac:dyDescent="0.3">
      <c r="A33" s="1">
        <v>45588</v>
      </c>
      <c r="B33">
        <v>7.0099999999999996E-2</v>
      </c>
      <c r="C33">
        <v>5.7549085990000002E-3</v>
      </c>
      <c r="D33">
        <v>0.17586705399999999</v>
      </c>
      <c r="E33">
        <v>0.14649999999999999</v>
      </c>
      <c r="H33">
        <v>1410799793</v>
      </c>
      <c r="I33">
        <v>0</v>
      </c>
    </row>
    <row r="34" spans="1:9" ht="15.75" thickBot="1" x14ac:dyDescent="0.3">
      <c r="A34" s="1">
        <v>45589</v>
      </c>
      <c r="B34">
        <v>6.5799999999999997E-2</v>
      </c>
      <c r="C34">
        <v>5.7549085990000002E-3</v>
      </c>
      <c r="D34">
        <v>0.20344423589999999</v>
      </c>
      <c r="E34">
        <v>0.14729999999999999</v>
      </c>
      <c r="H34">
        <v>1405179076</v>
      </c>
      <c r="I34">
        <v>0</v>
      </c>
    </row>
    <row r="35" spans="1:9" ht="15.75" thickBot="1" x14ac:dyDescent="0.3">
      <c r="A35" s="1">
        <v>45590</v>
      </c>
      <c r="B35">
        <v>6.5799999999999997E-2</v>
      </c>
      <c r="C35">
        <v>5.7549085990000002E-3</v>
      </c>
      <c r="D35">
        <v>0.20344423589999999</v>
      </c>
      <c r="E35">
        <v>0.14729999999999999</v>
      </c>
      <c r="H35">
        <v>1405179076</v>
      </c>
      <c r="I35">
        <v>0</v>
      </c>
    </row>
    <row r="36" spans="1:9" ht="15.75" thickBot="1" x14ac:dyDescent="0.3">
      <c r="A36" s="1">
        <v>45591</v>
      </c>
      <c r="B36">
        <v>1.8499999999999999E-2</v>
      </c>
      <c r="C36">
        <v>5.7549085990000002E-3</v>
      </c>
      <c r="D36">
        <v>0.20344423589999999</v>
      </c>
      <c r="E36">
        <v>0.1036</v>
      </c>
      <c r="H36">
        <v>1342775934</v>
      </c>
      <c r="I36">
        <v>0</v>
      </c>
    </row>
    <row r="37" spans="1:9" ht="15.75" thickBot="1" x14ac:dyDescent="0.3">
      <c r="A37" s="1">
        <v>45592</v>
      </c>
      <c r="B37">
        <v>4.7199999999999999E-2</v>
      </c>
      <c r="C37">
        <v>5.7549085990000002E-3</v>
      </c>
      <c r="D37">
        <v>0.10292969020000001</v>
      </c>
      <c r="E37">
        <v>0.1154</v>
      </c>
      <c r="H37">
        <v>1380606346</v>
      </c>
      <c r="I37">
        <v>0</v>
      </c>
    </row>
    <row r="38" spans="1:9" ht="15.75" thickBot="1" x14ac:dyDescent="0.3">
      <c r="A38" s="1">
        <v>45593</v>
      </c>
      <c r="B38">
        <v>5.9900000000000002E-2</v>
      </c>
      <c r="C38">
        <v>5.7549085990000002E-3</v>
      </c>
      <c r="D38">
        <v>0.12347383419999999</v>
      </c>
      <c r="E38">
        <v>0.1351</v>
      </c>
      <c r="H38">
        <v>1397426912</v>
      </c>
      <c r="I38">
        <v>0</v>
      </c>
    </row>
    <row r="39" spans="1:9" ht="15.75" thickBot="1" x14ac:dyDescent="0.3">
      <c r="A39" s="1">
        <v>45594</v>
      </c>
      <c r="B39">
        <v>7.5399999999999995E-2</v>
      </c>
      <c r="C39">
        <v>5.7549085990000002E-3</v>
      </c>
      <c r="D39">
        <v>0.15707688719999999</v>
      </c>
      <c r="E39">
        <v>0.15240000000000001</v>
      </c>
      <c r="H39">
        <v>1417863868</v>
      </c>
      <c r="I39">
        <v>0</v>
      </c>
    </row>
    <row r="40" spans="1:9" ht="15.75" thickBot="1" x14ac:dyDescent="0.3">
      <c r="A40" s="1">
        <v>45595</v>
      </c>
      <c r="B40">
        <v>8.5900000000000004E-2</v>
      </c>
      <c r="C40">
        <v>5.7549085990000002E-3</v>
      </c>
      <c r="D40">
        <v>0.1941433602</v>
      </c>
      <c r="E40">
        <v>0.15870000000000001</v>
      </c>
      <c r="H40">
        <v>1431614639</v>
      </c>
      <c r="I40">
        <v>0</v>
      </c>
    </row>
    <row r="41" spans="1:9" ht="15.75" thickBot="1" x14ac:dyDescent="0.3">
      <c r="A41" s="1">
        <v>45596</v>
      </c>
      <c r="B41">
        <v>9.6000000000000002E-2</v>
      </c>
      <c r="C41">
        <v>5.7549085990000002E-3</v>
      </c>
      <c r="D41">
        <v>0.20110445760000001</v>
      </c>
      <c r="E41">
        <v>0.1482</v>
      </c>
      <c r="H41">
        <v>1445037310</v>
      </c>
      <c r="I41">
        <v>0</v>
      </c>
    </row>
    <row r="42" spans="1:9" ht="15.75" thickBot="1" x14ac:dyDescent="0.3">
      <c r="A42" s="1">
        <v>45597</v>
      </c>
      <c r="B42">
        <v>9.6000000000000002E-2</v>
      </c>
      <c r="C42">
        <v>5.7549085990000002E-3</v>
      </c>
      <c r="D42">
        <v>0.20110445760000001</v>
      </c>
      <c r="E42">
        <v>0.1482</v>
      </c>
      <c r="H42">
        <v>1445037310</v>
      </c>
      <c r="I42">
        <v>0</v>
      </c>
    </row>
    <row r="43" spans="1:9" ht="15.75" thickBot="1" x14ac:dyDescent="0.3">
      <c r="A43" s="1">
        <v>45598</v>
      </c>
      <c r="B43">
        <v>7.1300000000000002E-2</v>
      </c>
      <c r="C43">
        <v>-7.7860528100000001E-3</v>
      </c>
      <c r="D43">
        <v>0.20110445760000001</v>
      </c>
      <c r="E43">
        <v>0.16880000000000001</v>
      </c>
      <c r="H43">
        <v>1412384194</v>
      </c>
      <c r="I43">
        <v>0</v>
      </c>
    </row>
    <row r="44" spans="1:9" ht="15.75" thickBot="1" x14ac:dyDescent="0.3">
      <c r="A44" s="1">
        <v>45599</v>
      </c>
      <c r="B44">
        <v>8.7900000000000006E-2</v>
      </c>
      <c r="C44">
        <v>-2.2681110359999999E-2</v>
      </c>
      <c r="D44">
        <v>0.18476369270000001</v>
      </c>
      <c r="E44">
        <v>0.16919999999999999</v>
      </c>
      <c r="H44">
        <v>1434362479</v>
      </c>
      <c r="I44">
        <v>0</v>
      </c>
    </row>
    <row r="45" spans="1:9" ht="15.75" thickBot="1" x14ac:dyDescent="0.3">
      <c r="A45" s="1">
        <v>45600</v>
      </c>
      <c r="B45">
        <v>6.9400000000000003E-2</v>
      </c>
      <c r="C45">
        <v>-2.9451591060000001E-2</v>
      </c>
      <c r="D45">
        <v>0.2112514902</v>
      </c>
      <c r="E45">
        <v>0.1608</v>
      </c>
      <c r="H45">
        <v>1409932303</v>
      </c>
      <c r="I45">
        <v>0</v>
      </c>
    </row>
    <row r="46" spans="1:9" ht="15.75" thickBot="1" x14ac:dyDescent="0.3">
      <c r="A46" s="1">
        <v>45601</v>
      </c>
      <c r="B46">
        <v>6.54E-2</v>
      </c>
      <c r="C46">
        <v>-1.5910629650000001E-2</v>
      </c>
      <c r="D46">
        <v>0.18370513999999999</v>
      </c>
      <c r="E46">
        <v>0.15820000000000001</v>
      </c>
      <c r="H46">
        <v>1404639686</v>
      </c>
      <c r="I46">
        <v>0</v>
      </c>
    </row>
    <row r="47" spans="1:9" ht="15.75" thickBot="1" x14ac:dyDescent="0.3">
      <c r="A47" s="1">
        <v>45602</v>
      </c>
      <c r="B47">
        <v>8.2199999999999995E-2</v>
      </c>
      <c r="C47">
        <v>-3.1482735269999999E-2</v>
      </c>
      <c r="D47">
        <v>0.1696904504</v>
      </c>
      <c r="E47">
        <v>0.17249999999999999</v>
      </c>
      <c r="H47">
        <v>1426816602</v>
      </c>
      <c r="I47">
        <v>0</v>
      </c>
    </row>
    <row r="48" spans="1:9" ht="15.75" thickBot="1" x14ac:dyDescent="0.3">
      <c r="A48" s="1">
        <v>45603</v>
      </c>
      <c r="B48">
        <v>9.7799999999999998E-2</v>
      </c>
      <c r="C48">
        <v>-3.1482735269999999E-2</v>
      </c>
      <c r="D48">
        <v>0.19728133519999999</v>
      </c>
      <c r="E48">
        <v>0.1658</v>
      </c>
      <c r="H48">
        <v>1447380883</v>
      </c>
      <c r="I48">
        <v>0</v>
      </c>
    </row>
    <row r="49" spans="1:9" ht="15.75" thickBot="1" x14ac:dyDescent="0.3">
      <c r="A49" s="1">
        <v>45604</v>
      </c>
      <c r="B49">
        <v>9.7799999999999998E-2</v>
      </c>
      <c r="C49">
        <v>-3.1482735269999999E-2</v>
      </c>
      <c r="D49">
        <v>0.19728133519999999</v>
      </c>
      <c r="E49">
        <v>0.1658</v>
      </c>
      <c r="H49">
        <v>1447380883</v>
      </c>
      <c r="I49">
        <v>0</v>
      </c>
    </row>
    <row r="50" spans="1:9" ht="15.75" thickBot="1" x14ac:dyDescent="0.3">
      <c r="A50" s="1">
        <v>45605</v>
      </c>
      <c r="B50">
        <v>7.9200000000000007E-2</v>
      </c>
      <c r="C50">
        <v>-2.7081922820000001E-3</v>
      </c>
      <c r="D50">
        <v>0.19728133519999999</v>
      </c>
      <c r="E50">
        <v>0.1641</v>
      </c>
      <c r="H50">
        <v>1422824383</v>
      </c>
      <c r="I50">
        <v>0</v>
      </c>
    </row>
    <row r="51" spans="1:9" ht="15.75" thickBot="1" x14ac:dyDescent="0.3">
      <c r="A51" s="1">
        <v>45606</v>
      </c>
      <c r="B51">
        <v>7.2499999999999995E-2</v>
      </c>
      <c r="C51">
        <v>-2.7081922820000001E-3</v>
      </c>
      <c r="D51">
        <v>0.1678302753</v>
      </c>
      <c r="E51">
        <v>0.1477</v>
      </c>
      <c r="H51">
        <v>1413941098</v>
      </c>
      <c r="I51">
        <v>0</v>
      </c>
    </row>
    <row r="52" spans="1:9" ht="15.75" thickBot="1" x14ac:dyDescent="0.3">
      <c r="A52" s="1">
        <v>45607</v>
      </c>
      <c r="B52">
        <v>6.2199999999999998E-2</v>
      </c>
      <c r="C52">
        <v>-2.7081922820000001E-3</v>
      </c>
      <c r="D52">
        <v>0.13312756070000001</v>
      </c>
      <c r="E52">
        <v>0.1255</v>
      </c>
      <c r="H52">
        <v>1400379242</v>
      </c>
      <c r="I52">
        <v>0</v>
      </c>
    </row>
    <row r="53" spans="1:9" ht="15.75" thickBot="1" x14ac:dyDescent="0.3">
      <c r="A53" s="1">
        <v>45608</v>
      </c>
      <c r="B53">
        <v>6.7199999999999996E-2</v>
      </c>
      <c r="C53">
        <v>-2.7081922820000001E-3</v>
      </c>
      <c r="D53">
        <v>8.8517615140000006E-2</v>
      </c>
      <c r="E53">
        <v>0.1431</v>
      </c>
      <c r="H53">
        <v>1406947677</v>
      </c>
      <c r="I53">
        <v>0</v>
      </c>
    </row>
    <row r="54" spans="1:9" ht="15.75" thickBot="1" x14ac:dyDescent="0.3">
      <c r="A54" s="1">
        <v>45609</v>
      </c>
      <c r="B54">
        <v>7.7899999999999997E-2</v>
      </c>
      <c r="C54">
        <v>-2.7081922820000001E-3</v>
      </c>
      <c r="D54">
        <v>0.10417323270000001</v>
      </c>
      <c r="E54">
        <v>0.1482</v>
      </c>
      <c r="H54">
        <v>1421076135</v>
      </c>
      <c r="I54">
        <v>0</v>
      </c>
    </row>
    <row r="55" spans="1:9" ht="15.75" thickBot="1" x14ac:dyDescent="0.3">
      <c r="A55" s="1">
        <v>45610</v>
      </c>
      <c r="B55">
        <v>9.1399999999999995E-2</v>
      </c>
      <c r="C55">
        <v>-2.7081922820000001E-3</v>
      </c>
      <c r="D55">
        <v>0.12843430119999999</v>
      </c>
      <c r="E55">
        <v>0.1515</v>
      </c>
      <c r="H55">
        <v>1438961169</v>
      </c>
      <c r="I55">
        <v>0</v>
      </c>
    </row>
    <row r="56" spans="1:9" ht="15.75" thickBot="1" x14ac:dyDescent="0.3">
      <c r="A56" s="1">
        <v>45611</v>
      </c>
      <c r="B56">
        <v>9.1399999999999995E-2</v>
      </c>
      <c r="C56">
        <v>-2.7081922820000001E-3</v>
      </c>
      <c r="D56">
        <v>0.12843430119999999</v>
      </c>
      <c r="E56">
        <v>0.1515</v>
      </c>
      <c r="H56">
        <v>1438961169</v>
      </c>
      <c r="I56">
        <v>0</v>
      </c>
    </row>
    <row r="57" spans="1:9" ht="15.75" thickBot="1" x14ac:dyDescent="0.3">
      <c r="A57" s="1">
        <v>45612</v>
      </c>
      <c r="B57">
        <v>7.6200000000000004E-2</v>
      </c>
      <c r="C57">
        <v>-2.7081922820000001E-3</v>
      </c>
      <c r="D57">
        <v>0.12843430119999999</v>
      </c>
      <c r="E57">
        <v>0.1487</v>
      </c>
      <c r="H57">
        <v>1418815301</v>
      </c>
      <c r="I57">
        <v>0</v>
      </c>
    </row>
    <row r="58" spans="1:9" ht="15.75" thickBot="1" x14ac:dyDescent="0.3">
      <c r="A58" s="1">
        <v>45613</v>
      </c>
      <c r="B58">
        <v>7.6100000000000001E-2</v>
      </c>
      <c r="C58">
        <v>-2.7081922820000001E-3</v>
      </c>
      <c r="D58">
        <v>0.11537881799999999</v>
      </c>
      <c r="E58">
        <v>0.14899999999999999</v>
      </c>
      <c r="H58">
        <v>1418682432</v>
      </c>
      <c r="I58">
        <v>0</v>
      </c>
    </row>
    <row r="59" spans="1:9" ht="15.75" thickBot="1" x14ac:dyDescent="0.3">
      <c r="A59" s="1">
        <v>45614</v>
      </c>
      <c r="B59">
        <v>7.3899999999999993E-2</v>
      </c>
      <c r="C59">
        <v>-2.7081922820000001E-3</v>
      </c>
      <c r="D59">
        <v>0.11695808269999999</v>
      </c>
      <c r="E59">
        <v>0.1507</v>
      </c>
      <c r="H59">
        <v>1415841601</v>
      </c>
      <c r="I59">
        <v>0</v>
      </c>
    </row>
    <row r="60" spans="1:9" ht="15.75" thickBot="1" x14ac:dyDescent="0.3">
      <c r="A60" s="1">
        <v>45615</v>
      </c>
      <c r="B60">
        <v>7.6499999999999999E-2</v>
      </c>
      <c r="C60">
        <v>-2.7081922820000001E-3</v>
      </c>
      <c r="D60">
        <v>0.12242555870000001</v>
      </c>
      <c r="E60">
        <v>0.16159999999999999</v>
      </c>
      <c r="H60">
        <v>1419292728</v>
      </c>
      <c r="I60">
        <v>0</v>
      </c>
    </row>
    <row r="61" spans="1:9" ht="15.75" thickBot="1" x14ac:dyDescent="0.3">
      <c r="A61" s="1">
        <v>45616</v>
      </c>
      <c r="B61">
        <v>9.0200000000000002E-2</v>
      </c>
      <c r="C61">
        <v>-2.7081922820000001E-3</v>
      </c>
      <c r="D61">
        <v>0.1465119147</v>
      </c>
      <c r="E61">
        <v>0.16209999999999999</v>
      </c>
      <c r="H61">
        <v>1437296155</v>
      </c>
      <c r="I61">
        <v>0</v>
      </c>
    </row>
    <row r="62" spans="1:9" ht="15.75" thickBot="1" x14ac:dyDescent="0.3">
      <c r="A62" s="1">
        <v>45617</v>
      </c>
      <c r="B62">
        <v>8.1000000000000003E-2</v>
      </c>
      <c r="C62">
        <v>-2.7081922820000001E-3</v>
      </c>
      <c r="D62">
        <v>0.16988914320000001</v>
      </c>
      <c r="E62">
        <v>0.16550000000000001</v>
      </c>
      <c r="H62">
        <v>1425141750</v>
      </c>
      <c r="I62">
        <v>0</v>
      </c>
    </row>
    <row r="63" spans="1:9" ht="15.75" thickBot="1" x14ac:dyDescent="0.3">
      <c r="A63" s="1">
        <v>45618</v>
      </c>
      <c r="B63">
        <v>8.1000000000000003E-2</v>
      </c>
      <c r="C63">
        <v>-2.7081922820000001E-3</v>
      </c>
      <c r="D63">
        <v>0.16988914320000001</v>
      </c>
      <c r="E63">
        <v>0.16550000000000001</v>
      </c>
      <c r="H63">
        <v>1425141750</v>
      </c>
      <c r="I63">
        <v>0</v>
      </c>
    </row>
    <row r="64" spans="1:9" ht="15.75" thickBot="1" x14ac:dyDescent="0.3">
      <c r="A64" s="1">
        <v>45619</v>
      </c>
      <c r="B64">
        <v>8.3299999999999999E-2</v>
      </c>
      <c r="C64">
        <v>-2.7081922820000001E-3</v>
      </c>
      <c r="D64">
        <v>0.16988914320000001</v>
      </c>
      <c r="E64">
        <v>0.1792</v>
      </c>
      <c r="H64">
        <v>1428208389</v>
      </c>
      <c r="I64">
        <v>0</v>
      </c>
    </row>
    <row r="65" spans="1:9" ht="15.75" thickBot="1" x14ac:dyDescent="0.3">
      <c r="A65" s="1">
        <v>45620</v>
      </c>
      <c r="B65">
        <v>9.2600000000000002E-2</v>
      </c>
      <c r="C65">
        <v>-2.7081922820000001E-3</v>
      </c>
      <c r="D65">
        <v>0.19761705739999999</v>
      </c>
      <c r="E65">
        <v>0.15740000000000001</v>
      </c>
      <c r="H65">
        <v>1440516953</v>
      </c>
      <c r="I65">
        <v>0</v>
      </c>
    </row>
    <row r="66" spans="1:9" ht="15.75" thickBot="1" x14ac:dyDescent="0.3">
      <c r="A66" s="1">
        <v>45621</v>
      </c>
      <c r="B66">
        <v>7.5700000000000003E-2</v>
      </c>
      <c r="C66">
        <v>-2.7081922820000001E-3</v>
      </c>
      <c r="D66">
        <v>0.18051920469999999</v>
      </c>
      <c r="E66">
        <v>0.16500000000000001</v>
      </c>
      <c r="H66">
        <v>1418257082</v>
      </c>
      <c r="I66">
        <v>0</v>
      </c>
    </row>
    <row r="67" spans="1:9" ht="15.75" thickBot="1" x14ac:dyDescent="0.3">
      <c r="A67" s="1">
        <v>45622</v>
      </c>
      <c r="B67">
        <v>8.0199999999999994E-2</v>
      </c>
      <c r="C67">
        <v>-2.7081922820000001E-3</v>
      </c>
      <c r="D67">
        <v>0.15665894729999999</v>
      </c>
      <c r="E67">
        <v>0.16880000000000001</v>
      </c>
      <c r="H67">
        <v>1424094414</v>
      </c>
      <c r="I67">
        <v>0</v>
      </c>
    </row>
    <row r="68" spans="1:9" ht="15.75" thickBot="1" x14ac:dyDescent="0.3">
      <c r="A68" s="1">
        <v>45623</v>
      </c>
      <c r="B68">
        <v>8.5800000000000001E-2</v>
      </c>
      <c r="C68">
        <v>-2.7081922820000001E-3</v>
      </c>
      <c r="D68">
        <v>0.15579908740000001</v>
      </c>
      <c r="E68">
        <v>0.17499999999999999</v>
      </c>
      <c r="H68">
        <v>1431468769</v>
      </c>
      <c r="I68">
        <v>0</v>
      </c>
    </row>
    <row r="69" spans="1:9" ht="15.75" thickBot="1" x14ac:dyDescent="0.3">
      <c r="A69" s="1">
        <v>45624</v>
      </c>
      <c r="B69">
        <v>8.1199999999999994E-2</v>
      </c>
      <c r="C69">
        <v>-2.7081922820000001E-3</v>
      </c>
      <c r="D69">
        <v>0.16307192679999999</v>
      </c>
      <c r="E69">
        <v>0.1792</v>
      </c>
      <c r="H69">
        <v>1425440467</v>
      </c>
      <c r="I69">
        <v>0</v>
      </c>
    </row>
    <row r="70" spans="1:9" ht="15.75" thickBot="1" x14ac:dyDescent="0.3">
      <c r="A70" s="1">
        <v>45625</v>
      </c>
      <c r="B70">
        <v>8.1199999999999994E-2</v>
      </c>
      <c r="C70">
        <v>-2.7081922820000001E-3</v>
      </c>
      <c r="D70">
        <v>0.16307192679999999</v>
      </c>
      <c r="E70">
        <v>0.1792</v>
      </c>
      <c r="H70">
        <v>1425440467</v>
      </c>
      <c r="I70">
        <v>0</v>
      </c>
    </row>
    <row r="71" spans="1:9" ht="15.75" thickBot="1" x14ac:dyDescent="0.3">
      <c r="A71" s="1">
        <v>45626</v>
      </c>
      <c r="B71">
        <v>9.6600000000000005E-2</v>
      </c>
      <c r="C71">
        <v>-2.7081922820000001E-3</v>
      </c>
      <c r="D71">
        <v>0.16307192679999999</v>
      </c>
      <c r="E71">
        <v>0.18709999999999999</v>
      </c>
      <c r="H71">
        <v>1445832183</v>
      </c>
      <c r="I71">
        <v>0</v>
      </c>
    </row>
    <row r="72" spans="1:9" ht="15.75" thickBot="1" x14ac:dyDescent="0.3">
      <c r="A72" s="1">
        <v>45627</v>
      </c>
      <c r="B72">
        <v>9.0200000000000002E-2</v>
      </c>
      <c r="C72">
        <v>0.13845633039999999</v>
      </c>
      <c r="D72">
        <v>0.1894261206</v>
      </c>
      <c r="E72">
        <v>0.18010000000000001</v>
      </c>
      <c r="H72">
        <v>1437347768</v>
      </c>
      <c r="I72">
        <v>0</v>
      </c>
    </row>
    <row r="73" spans="1:9" ht="15.75" thickBot="1" x14ac:dyDescent="0.3">
      <c r="A73" s="1">
        <v>45628</v>
      </c>
      <c r="B73">
        <v>9.6100000000000005E-2</v>
      </c>
      <c r="C73">
        <v>0.1719702099</v>
      </c>
      <c r="D73">
        <v>0.1748050756</v>
      </c>
      <c r="E73">
        <v>0.19020000000000001</v>
      </c>
      <c r="H73">
        <v>1445127097</v>
      </c>
      <c r="I73">
        <v>0</v>
      </c>
    </row>
    <row r="74" spans="1:9" ht="15.75" thickBot="1" x14ac:dyDescent="0.3">
      <c r="A74" s="1">
        <v>45629</v>
      </c>
      <c r="B74">
        <v>9.9500000000000005E-2</v>
      </c>
      <c r="C74">
        <v>0.1787406906</v>
      </c>
      <c r="D74">
        <v>0.18037874949999999</v>
      </c>
      <c r="E74">
        <v>0.20019999999999999</v>
      </c>
      <c r="H74">
        <v>1449543955</v>
      </c>
      <c r="I74">
        <v>0</v>
      </c>
    </row>
    <row r="75" spans="1:9" ht="15.75" thickBot="1" x14ac:dyDescent="0.3">
      <c r="A75" s="1">
        <v>45630</v>
      </c>
      <c r="B75">
        <v>9.6299999999999997E-2</v>
      </c>
      <c r="C75">
        <v>0.1736628301</v>
      </c>
      <c r="D75">
        <v>0.1866615509</v>
      </c>
      <c r="E75">
        <v>0.20530000000000001</v>
      </c>
      <c r="H75">
        <v>1445396191</v>
      </c>
      <c r="I75">
        <v>0</v>
      </c>
    </row>
    <row r="76" spans="1:9" ht="15.75" thickBot="1" x14ac:dyDescent="0.3">
      <c r="A76" s="1">
        <v>45631</v>
      </c>
      <c r="B76">
        <v>9.6299999999999997E-2</v>
      </c>
      <c r="C76">
        <v>0.1736628301</v>
      </c>
      <c r="D76">
        <v>0.19326637159999999</v>
      </c>
      <c r="E76">
        <v>0.2019</v>
      </c>
      <c r="H76">
        <v>1445396191</v>
      </c>
      <c r="I76">
        <v>0</v>
      </c>
    </row>
    <row r="77" spans="1:9" ht="15.75" thickBot="1" x14ac:dyDescent="0.3">
      <c r="A77" s="1">
        <v>45632</v>
      </c>
      <c r="B77">
        <v>9.6299999999999997E-2</v>
      </c>
      <c r="C77">
        <v>0.1736628301</v>
      </c>
      <c r="D77">
        <v>0.19326637159999999</v>
      </c>
      <c r="E77">
        <v>0.2019</v>
      </c>
      <c r="H77">
        <v>1445396191</v>
      </c>
      <c r="I77">
        <v>0</v>
      </c>
    </row>
    <row r="78" spans="1:9" ht="15.75" thickBot="1" x14ac:dyDescent="0.3">
      <c r="A78" s="1">
        <v>45633</v>
      </c>
      <c r="B78">
        <v>9.8900000000000002E-2</v>
      </c>
      <c r="C78">
        <v>0.15876777249999999</v>
      </c>
      <c r="D78">
        <v>0.19326637159999999</v>
      </c>
      <c r="E78">
        <v>0.20610000000000001</v>
      </c>
      <c r="H78">
        <v>1448746624</v>
      </c>
      <c r="I78">
        <v>0</v>
      </c>
    </row>
    <row r="79" spans="1:9" ht="15.75" thickBot="1" x14ac:dyDescent="0.3">
      <c r="A79" s="1">
        <v>45634</v>
      </c>
      <c r="B79">
        <v>0.10199999999999999</v>
      </c>
      <c r="C79">
        <v>0.15165876780000001</v>
      </c>
      <c r="D79">
        <v>0.18684654070000001</v>
      </c>
      <c r="E79">
        <v>0.21229999999999999</v>
      </c>
      <c r="H79">
        <v>1452830384</v>
      </c>
      <c r="I79">
        <v>0</v>
      </c>
    </row>
    <row r="80" spans="1:9" ht="15.75" thickBot="1" x14ac:dyDescent="0.3">
      <c r="A80" s="1">
        <v>45635</v>
      </c>
      <c r="B80">
        <v>0.1</v>
      </c>
      <c r="C80">
        <v>0.18618821939999999</v>
      </c>
      <c r="D80">
        <v>0.19856598650000001</v>
      </c>
      <c r="E80">
        <v>0.2137</v>
      </c>
      <c r="H80">
        <v>1450195570</v>
      </c>
      <c r="I80">
        <v>0</v>
      </c>
    </row>
    <row r="81" spans="1:9" ht="15.75" thickBot="1" x14ac:dyDescent="0.3">
      <c r="A81" s="1">
        <v>45636</v>
      </c>
      <c r="B81">
        <v>0.1048</v>
      </c>
      <c r="C81">
        <v>0.18618821939999999</v>
      </c>
      <c r="D81">
        <v>0.20194376310000001</v>
      </c>
      <c r="E81">
        <v>0.22120000000000001</v>
      </c>
      <c r="H81">
        <v>1456606739</v>
      </c>
      <c r="I81">
        <v>0</v>
      </c>
    </row>
    <row r="82" spans="1:9" ht="15.75" thickBot="1" x14ac:dyDescent="0.3">
      <c r="A82" s="1">
        <v>45637</v>
      </c>
      <c r="B82">
        <v>0.11020000000000001</v>
      </c>
      <c r="C82">
        <v>0.18618821939999999</v>
      </c>
      <c r="D82">
        <v>0.21399550540000001</v>
      </c>
      <c r="E82">
        <v>0.23549999999999999</v>
      </c>
      <c r="H82">
        <v>1463678783</v>
      </c>
      <c r="I82">
        <v>0</v>
      </c>
    </row>
    <row r="83" spans="1:9" ht="15.75" thickBot="1" x14ac:dyDescent="0.3">
      <c r="A83" s="1">
        <v>45638</v>
      </c>
      <c r="B83">
        <v>0.1173</v>
      </c>
      <c r="C83">
        <v>0.18618821939999999</v>
      </c>
      <c r="D83">
        <v>0.2444366033</v>
      </c>
      <c r="E83">
        <v>0.23219999999999999</v>
      </c>
      <c r="H83">
        <v>1473032750</v>
      </c>
      <c r="I83">
        <v>0</v>
      </c>
    </row>
    <row r="84" spans="1:9" ht="15.75" thickBot="1" x14ac:dyDescent="0.3">
      <c r="A84" s="1">
        <v>45639</v>
      </c>
      <c r="B84">
        <v>0.1173</v>
      </c>
      <c r="C84">
        <v>0.18618821939999999</v>
      </c>
      <c r="D84">
        <v>0.2444366033</v>
      </c>
      <c r="E84">
        <v>0.23219999999999999</v>
      </c>
      <c r="H84">
        <v>1473032750</v>
      </c>
      <c r="I84">
        <v>0</v>
      </c>
    </row>
    <row r="85" spans="1:9" ht="15.75" thickBot="1" x14ac:dyDescent="0.3">
      <c r="A85" s="1">
        <v>45640</v>
      </c>
      <c r="B85">
        <v>0.1096</v>
      </c>
      <c r="C85">
        <v>0.18618821939999999</v>
      </c>
      <c r="D85">
        <v>0.2444366033</v>
      </c>
      <c r="E85">
        <v>0.26240000000000002</v>
      </c>
      <c r="H85">
        <v>1462868258</v>
      </c>
      <c r="I85">
        <v>0</v>
      </c>
    </row>
    <row r="86" spans="1:9" ht="15.75" thickBot="1" x14ac:dyDescent="0.3">
      <c r="A86" s="1">
        <v>45641</v>
      </c>
      <c r="B86">
        <v>0.1177</v>
      </c>
      <c r="C86">
        <v>0.18618821939999999</v>
      </c>
      <c r="D86">
        <v>0.25836907520000002</v>
      </c>
      <c r="E86">
        <v>0.25819999999999999</v>
      </c>
      <c r="H86">
        <v>1473540732</v>
      </c>
      <c r="I86">
        <v>0</v>
      </c>
    </row>
    <row r="87" spans="1:9" ht="15.75" thickBot="1" x14ac:dyDescent="0.3">
      <c r="A87" s="1">
        <v>45642</v>
      </c>
      <c r="B87">
        <v>0.10680000000000001</v>
      </c>
      <c r="C87">
        <v>0.18618821939999999</v>
      </c>
      <c r="D87">
        <v>0.25694739439999997</v>
      </c>
      <c r="E87">
        <v>0.28170000000000001</v>
      </c>
      <c r="H87">
        <v>1459217827</v>
      </c>
      <c r="I87">
        <v>0</v>
      </c>
    </row>
    <row r="88" spans="1:9" ht="15.75" thickBot="1" x14ac:dyDescent="0.3">
      <c r="A88" s="1">
        <v>45643</v>
      </c>
      <c r="B88">
        <v>0.11459999999999999</v>
      </c>
      <c r="C88">
        <v>0.18618821939999999</v>
      </c>
      <c r="D88">
        <v>0.26886895869999999</v>
      </c>
      <c r="E88">
        <v>0.29089999999999999</v>
      </c>
      <c r="H88">
        <v>1469449102</v>
      </c>
      <c r="I88">
        <v>0</v>
      </c>
    </row>
    <row r="89" spans="1:9" ht="15.75" thickBot="1" x14ac:dyDescent="0.3">
      <c r="A89" s="1">
        <v>45644</v>
      </c>
      <c r="B89">
        <v>0.11459999999999999</v>
      </c>
      <c r="C89">
        <v>0.18618821939999999</v>
      </c>
      <c r="D89">
        <v>0.27987927699999998</v>
      </c>
      <c r="E89">
        <v>0.29849999999999999</v>
      </c>
      <c r="H89">
        <v>1469449102</v>
      </c>
      <c r="I89">
        <v>0</v>
      </c>
    </row>
    <row r="90" spans="1:9" ht="15.75" thickBot="1" x14ac:dyDescent="0.3">
      <c r="A90" s="1">
        <v>45645</v>
      </c>
      <c r="B90">
        <v>0.13750000000000001</v>
      </c>
      <c r="C90">
        <v>0.18618821939999999</v>
      </c>
      <c r="D90">
        <v>0.27189731010000001</v>
      </c>
      <c r="E90">
        <v>0.29430000000000001</v>
      </c>
      <c r="H90">
        <v>1499725683</v>
      </c>
      <c r="I90">
        <v>0</v>
      </c>
    </row>
    <row r="91" spans="1:9" ht="15.75" thickBot="1" x14ac:dyDescent="0.3">
      <c r="A91" s="1">
        <v>45646</v>
      </c>
      <c r="B91">
        <v>0.13750000000000001</v>
      </c>
      <c r="C91">
        <v>0.18618821939999999</v>
      </c>
      <c r="D91">
        <v>0.27189731010000001</v>
      </c>
      <c r="E91">
        <v>0.29430000000000001</v>
      </c>
      <c r="H91">
        <v>1499725683</v>
      </c>
      <c r="I91">
        <v>0</v>
      </c>
    </row>
    <row r="92" spans="1:9" ht="15.75" thickBot="1" x14ac:dyDescent="0.3">
      <c r="A92" s="1">
        <v>45647</v>
      </c>
      <c r="B92">
        <v>0.1159</v>
      </c>
      <c r="C92">
        <v>0.18618821939999999</v>
      </c>
      <c r="D92">
        <v>0.27189731010000001</v>
      </c>
      <c r="E92">
        <v>0.28170000000000001</v>
      </c>
      <c r="H92">
        <v>1471207998</v>
      </c>
      <c r="I92">
        <v>0</v>
      </c>
    </row>
    <row r="93" spans="1:9" ht="15.75" thickBot="1" x14ac:dyDescent="0.3">
      <c r="A93" s="1">
        <v>45648</v>
      </c>
      <c r="B93">
        <v>0.10639999999999999</v>
      </c>
      <c r="C93">
        <v>0.18618821939999999</v>
      </c>
      <c r="D93">
        <v>0.2417782315</v>
      </c>
      <c r="E93">
        <v>0.28310000000000002</v>
      </c>
      <c r="H93">
        <v>1458752785</v>
      </c>
      <c r="I93">
        <v>0</v>
      </c>
    </row>
    <row r="94" spans="1:9" ht="15.75" thickBot="1" x14ac:dyDescent="0.3">
      <c r="A94" s="1">
        <v>45649</v>
      </c>
      <c r="B94">
        <v>0.1085</v>
      </c>
      <c r="C94">
        <v>0.18618821939999999</v>
      </c>
      <c r="D94">
        <v>0.22850692680000001</v>
      </c>
      <c r="E94">
        <v>0.3145</v>
      </c>
      <c r="H94">
        <v>1461401144</v>
      </c>
      <c r="I94">
        <v>0</v>
      </c>
    </row>
    <row r="95" spans="1:9" ht="15.75" thickBot="1" x14ac:dyDescent="0.3">
      <c r="A95" s="1">
        <v>45650</v>
      </c>
      <c r="B95">
        <v>0.1036</v>
      </c>
      <c r="C95">
        <v>0.18618821939999999</v>
      </c>
      <c r="D95">
        <v>0.26682036809999998</v>
      </c>
      <c r="E95">
        <v>0.32419999999999999</v>
      </c>
      <c r="H95">
        <v>1454971450</v>
      </c>
      <c r="I95">
        <v>0</v>
      </c>
    </row>
    <row r="96" spans="1:9" ht="15.75" thickBot="1" x14ac:dyDescent="0.3">
      <c r="A96" s="1">
        <v>45651</v>
      </c>
      <c r="B96">
        <v>9.11E-2</v>
      </c>
      <c r="C96">
        <v>0.18618821939999999</v>
      </c>
      <c r="D96">
        <v>0.2763370651</v>
      </c>
      <c r="E96">
        <v>0.32450000000000001</v>
      </c>
      <c r="H96">
        <v>1438541295</v>
      </c>
      <c r="I96">
        <v>0</v>
      </c>
    </row>
    <row r="97" spans="1:9" ht="15.75" thickBot="1" x14ac:dyDescent="0.3">
      <c r="A97" s="1">
        <v>45652</v>
      </c>
      <c r="B97">
        <v>6.3700000000000007E-2</v>
      </c>
      <c r="C97">
        <v>0.18618821939999999</v>
      </c>
      <c r="D97">
        <v>0.27011250120000002</v>
      </c>
      <c r="E97">
        <v>0.3397</v>
      </c>
      <c r="H97">
        <v>1402392197</v>
      </c>
      <c r="I97">
        <v>0</v>
      </c>
    </row>
    <row r="98" spans="1:9" ht="15.75" thickBot="1" x14ac:dyDescent="0.3">
      <c r="A98" s="1">
        <v>45653</v>
      </c>
      <c r="B98">
        <v>6.3700000000000007E-2</v>
      </c>
      <c r="C98">
        <v>0.18618821939999999</v>
      </c>
      <c r="D98">
        <v>0.27011250120000002</v>
      </c>
      <c r="E98">
        <v>0.3397</v>
      </c>
      <c r="H98">
        <v>1402392197</v>
      </c>
      <c r="I98">
        <v>0</v>
      </c>
    </row>
    <row r="99" spans="1:9" ht="15.75" thickBot="1" x14ac:dyDescent="0.3">
      <c r="A99" s="1">
        <v>45654</v>
      </c>
      <c r="B99">
        <v>0.1089</v>
      </c>
      <c r="C99">
        <v>0.18618821939999999</v>
      </c>
      <c r="D99">
        <v>0.27011250120000002</v>
      </c>
      <c r="E99">
        <v>0.37240000000000001</v>
      </c>
      <c r="H99">
        <v>1462029743</v>
      </c>
      <c r="I99">
        <v>0</v>
      </c>
    </row>
    <row r="100" spans="1:9" ht="15.75" thickBot="1" x14ac:dyDescent="0.3">
      <c r="A100" s="1">
        <v>45655</v>
      </c>
      <c r="B100">
        <v>0.12659999999999999</v>
      </c>
      <c r="C100">
        <v>0.18618821939999999</v>
      </c>
      <c r="D100">
        <v>0.30119763760000001</v>
      </c>
      <c r="E100">
        <v>0.34470000000000001</v>
      </c>
      <c r="H100">
        <v>1485297359</v>
      </c>
      <c r="I100">
        <v>0</v>
      </c>
    </row>
    <row r="101" spans="1:9" ht="15.75" thickBot="1" x14ac:dyDescent="0.3">
      <c r="A101" s="1">
        <v>45656</v>
      </c>
      <c r="B101">
        <v>0.21440000000000001</v>
      </c>
      <c r="C101">
        <v>0.18618821939999999</v>
      </c>
      <c r="D101">
        <v>0.27864258600000003</v>
      </c>
      <c r="E101">
        <v>0.37830000000000003</v>
      </c>
      <c r="H101">
        <v>2919471425</v>
      </c>
      <c r="I101">
        <v>0</v>
      </c>
    </row>
    <row r="102" spans="1:9" ht="15.75" thickBot="1" x14ac:dyDescent="0.3">
      <c r="A102" s="1">
        <v>45657</v>
      </c>
      <c r="B102">
        <v>0.12670000000000001</v>
      </c>
      <c r="C102">
        <v>0.18618821939999999</v>
      </c>
      <c r="D102">
        <v>0.26959178919999999</v>
      </c>
      <c r="E102">
        <v>0.37069999999999997</v>
      </c>
      <c r="H102">
        <v>1485483168</v>
      </c>
      <c r="I102">
        <v>0</v>
      </c>
    </row>
    <row r="103" spans="1:9" ht="15.75" thickBot="1" x14ac:dyDescent="0.3">
      <c r="A103" s="1">
        <v>45658</v>
      </c>
      <c r="B103">
        <v>0.13969999999999999</v>
      </c>
      <c r="C103">
        <v>0.29011509819999998</v>
      </c>
      <c r="D103">
        <v>0.28125299749999999</v>
      </c>
      <c r="E103">
        <v>0.37240000000000001</v>
      </c>
      <c r="H103">
        <v>1502533016</v>
      </c>
      <c r="I103">
        <v>0</v>
      </c>
    </row>
    <row r="104" spans="1:9" ht="15.75" thickBot="1" x14ac:dyDescent="0.3">
      <c r="A104" s="1">
        <v>45659</v>
      </c>
      <c r="B104">
        <v>0.15429999999999999</v>
      </c>
      <c r="C104">
        <v>0.29011509819999998</v>
      </c>
      <c r="D104">
        <v>0.27849870510000002</v>
      </c>
      <c r="E104">
        <v>0.35809999999999997</v>
      </c>
      <c r="H104">
        <v>1521868259</v>
      </c>
      <c r="I104">
        <v>0</v>
      </c>
    </row>
    <row r="105" spans="1:9" ht="15.75" thickBot="1" x14ac:dyDescent="0.3">
      <c r="A105" s="1">
        <v>45660</v>
      </c>
      <c r="B105">
        <v>0.15429999999999999</v>
      </c>
      <c r="C105">
        <v>0.29011509819999998</v>
      </c>
      <c r="D105">
        <v>0.27849870510000002</v>
      </c>
      <c r="E105">
        <v>0.35809999999999997</v>
      </c>
      <c r="H105">
        <v>1521868259</v>
      </c>
      <c r="I105">
        <v>0</v>
      </c>
    </row>
    <row r="106" spans="1:9" ht="15.75" thickBot="1" x14ac:dyDescent="0.3">
      <c r="A106" s="1">
        <v>45661</v>
      </c>
      <c r="B106">
        <v>0.1741</v>
      </c>
      <c r="C106">
        <v>0.32870683820000002</v>
      </c>
      <c r="D106">
        <v>0.27849870510000002</v>
      </c>
      <c r="E106">
        <v>0.34970000000000001</v>
      </c>
      <c r="H106">
        <v>1547924740</v>
      </c>
      <c r="I106">
        <v>0</v>
      </c>
    </row>
    <row r="107" spans="1:9" ht="15.75" thickBot="1" x14ac:dyDescent="0.3">
      <c r="A107" s="1">
        <v>45662</v>
      </c>
      <c r="B107">
        <v>0.16839999999999999</v>
      </c>
      <c r="C107">
        <v>0.33039945840000001</v>
      </c>
      <c r="D107">
        <v>0.2643949464</v>
      </c>
      <c r="E107">
        <v>0.34050000000000002</v>
      </c>
      <c r="H107">
        <v>1540471218</v>
      </c>
      <c r="I107">
        <v>0</v>
      </c>
    </row>
    <row r="108" spans="1:9" ht="15.75" thickBot="1" x14ac:dyDescent="0.3">
      <c r="A108" s="1">
        <v>45663</v>
      </c>
      <c r="B108">
        <v>0.16300000000000001</v>
      </c>
      <c r="C108">
        <v>0.31415030469999999</v>
      </c>
      <c r="D108">
        <v>0.26198665329999998</v>
      </c>
      <c r="E108">
        <v>0.34720000000000001</v>
      </c>
      <c r="H108">
        <v>1533344083</v>
      </c>
      <c r="I108">
        <v>0</v>
      </c>
    </row>
    <row r="109" spans="1:9" ht="15.75" thickBot="1" x14ac:dyDescent="0.3">
      <c r="A109" s="1">
        <v>45664</v>
      </c>
      <c r="B109">
        <v>0.1343</v>
      </c>
      <c r="C109">
        <v>0.34089370349999998</v>
      </c>
      <c r="D109">
        <v>0.25813269929999999</v>
      </c>
      <c r="E109">
        <v>0.34889999999999999</v>
      </c>
      <c r="H109">
        <v>1495412246</v>
      </c>
      <c r="I109">
        <v>0</v>
      </c>
    </row>
    <row r="110" spans="1:9" ht="15.75" thickBot="1" x14ac:dyDescent="0.3">
      <c r="A110" s="1">
        <v>45665</v>
      </c>
      <c r="B110">
        <v>0.1173</v>
      </c>
      <c r="C110">
        <v>0.34597156400000001</v>
      </c>
      <c r="D110">
        <v>0.27581292740000002</v>
      </c>
      <c r="E110">
        <v>0.35649999999999998</v>
      </c>
      <c r="H110">
        <v>1473021126</v>
      </c>
      <c r="I110">
        <v>0</v>
      </c>
    </row>
    <row r="111" spans="1:9" ht="15.75" thickBot="1" x14ac:dyDescent="0.3">
      <c r="A111" s="1">
        <v>45666</v>
      </c>
      <c r="B111">
        <v>8.2400000000000001E-2</v>
      </c>
      <c r="C111">
        <v>0.34597156400000001</v>
      </c>
      <c r="D111">
        <v>0.29352398699999999</v>
      </c>
      <c r="E111">
        <v>0.37409999999999999</v>
      </c>
      <c r="H111">
        <v>1427034384</v>
      </c>
      <c r="I111">
        <v>0</v>
      </c>
    </row>
    <row r="112" spans="1:9" ht="15.75" thickBot="1" x14ac:dyDescent="0.3">
      <c r="A112" s="1">
        <v>45667</v>
      </c>
      <c r="B112">
        <v>8.2400000000000001E-2</v>
      </c>
      <c r="C112">
        <v>0.34597156400000001</v>
      </c>
      <c r="D112">
        <v>0.29352398699999999</v>
      </c>
      <c r="E112">
        <v>0.37409999999999999</v>
      </c>
      <c r="H112">
        <v>1427034384</v>
      </c>
      <c r="I112">
        <v>0</v>
      </c>
    </row>
    <row r="113" spans="1:9" ht="15.75" thickBot="1" x14ac:dyDescent="0.3">
      <c r="A113" s="1">
        <v>45668</v>
      </c>
      <c r="B113">
        <v>0.1017</v>
      </c>
      <c r="C113">
        <v>0.33276912660000002</v>
      </c>
      <c r="D113">
        <v>0.29352398699999999</v>
      </c>
      <c r="E113">
        <v>0.38</v>
      </c>
      <c r="H113">
        <v>1452520268</v>
      </c>
      <c r="I113">
        <v>0</v>
      </c>
    </row>
    <row r="114" spans="1:9" ht="15.75" thickBot="1" x14ac:dyDescent="0.3">
      <c r="A114" s="1">
        <v>45669</v>
      </c>
      <c r="B114">
        <v>0.13800000000000001</v>
      </c>
      <c r="C114">
        <v>0.30805687199999998</v>
      </c>
      <c r="D114">
        <v>0.32837743400000002</v>
      </c>
      <c r="E114">
        <v>0.36149999999999999</v>
      </c>
      <c r="H114">
        <v>1500410812</v>
      </c>
      <c r="I114">
        <v>0</v>
      </c>
    </row>
    <row r="115" spans="1:9" ht="15.75" thickBot="1" x14ac:dyDescent="0.3">
      <c r="A115" s="1">
        <v>45670</v>
      </c>
      <c r="B115">
        <v>0.13400000000000001</v>
      </c>
      <c r="C115">
        <v>0.3205822613</v>
      </c>
      <c r="D115">
        <v>0.3202310317</v>
      </c>
      <c r="E115">
        <v>0.36990000000000001</v>
      </c>
      <c r="H115">
        <v>1495041184</v>
      </c>
      <c r="I115">
        <v>0</v>
      </c>
    </row>
    <row r="116" spans="1:9" ht="15.75" thickBot="1" x14ac:dyDescent="0.3">
      <c r="A116" s="1">
        <v>45671</v>
      </c>
      <c r="B116">
        <v>0.13400000000000001</v>
      </c>
      <c r="C116">
        <v>0.3205822613</v>
      </c>
      <c r="D116">
        <v>0.33208065549999999</v>
      </c>
      <c r="E116">
        <v>0.37330000000000002</v>
      </c>
      <c r="H116">
        <v>1495041184</v>
      </c>
      <c r="I116">
        <v>0</v>
      </c>
    </row>
    <row r="117" spans="1:9" ht="15.75" thickBot="1" x14ac:dyDescent="0.3">
      <c r="A117" s="1">
        <v>45672</v>
      </c>
      <c r="B117">
        <v>0.13150000000000001</v>
      </c>
      <c r="C117">
        <v>0.3185511171</v>
      </c>
      <c r="D117">
        <v>0.33208065549999999</v>
      </c>
      <c r="E117">
        <v>0.35649999999999998</v>
      </c>
      <c r="H117">
        <v>1491802093</v>
      </c>
      <c r="I117">
        <v>0</v>
      </c>
    </row>
    <row r="118" spans="1:9" ht="15.75" thickBot="1" x14ac:dyDescent="0.3">
      <c r="A118" s="1">
        <v>45673</v>
      </c>
      <c r="B118">
        <v>0.14660000000000001</v>
      </c>
      <c r="C118">
        <v>0.3185511171</v>
      </c>
      <c r="D118">
        <v>0.32259821589999998</v>
      </c>
      <c r="E118">
        <v>0.3528</v>
      </c>
      <c r="H118">
        <v>1511722285</v>
      </c>
      <c r="I118">
        <v>0</v>
      </c>
    </row>
    <row r="119" spans="1:9" ht="15.75" thickBot="1" x14ac:dyDescent="0.3">
      <c r="A119" s="1">
        <v>45674</v>
      </c>
      <c r="B119">
        <v>0.14660000000000001</v>
      </c>
      <c r="C119">
        <v>0.3185511171</v>
      </c>
      <c r="D119">
        <v>0.32259821589999998</v>
      </c>
      <c r="E119">
        <v>0.3528</v>
      </c>
      <c r="H119">
        <v>1511722285</v>
      </c>
      <c r="I119">
        <v>0</v>
      </c>
    </row>
    <row r="120" spans="1:9" ht="15.75" thickBot="1" x14ac:dyDescent="0.3">
      <c r="A120" s="1">
        <v>45675</v>
      </c>
      <c r="B120">
        <v>0.124</v>
      </c>
      <c r="C120">
        <v>0.2890995261</v>
      </c>
      <c r="D120">
        <v>0.32259821589999998</v>
      </c>
      <c r="E120">
        <v>0.36149999999999999</v>
      </c>
      <c r="H120">
        <v>1481938292</v>
      </c>
      <c r="I120">
        <v>0</v>
      </c>
    </row>
    <row r="121" spans="1:9" ht="15.75" thickBot="1" x14ac:dyDescent="0.3">
      <c r="A121" s="1">
        <v>45676</v>
      </c>
      <c r="B121">
        <v>0.13120000000000001</v>
      </c>
      <c r="C121">
        <v>0.28943805010000001</v>
      </c>
      <c r="D121">
        <v>0.31715472</v>
      </c>
      <c r="E121">
        <v>0.36149999999999999</v>
      </c>
      <c r="H121">
        <v>1491349782</v>
      </c>
      <c r="I121">
        <v>0</v>
      </c>
    </row>
    <row r="122" spans="1:9" ht="15.75" thickBot="1" x14ac:dyDescent="0.3">
      <c r="A122" s="1">
        <v>45677</v>
      </c>
      <c r="B122">
        <v>0.13739999999999999</v>
      </c>
      <c r="C122">
        <v>0.27758970890000001</v>
      </c>
      <c r="D122">
        <v>0.32691807010000001</v>
      </c>
      <c r="E122">
        <v>0.36649999999999999</v>
      </c>
      <c r="H122">
        <v>1499580264</v>
      </c>
      <c r="I122">
        <v>0</v>
      </c>
    </row>
    <row r="123" spans="1:9" ht="15.75" thickBot="1" x14ac:dyDescent="0.3">
      <c r="A123" s="1">
        <v>45678</v>
      </c>
      <c r="B123">
        <v>0.1275</v>
      </c>
      <c r="C123">
        <v>0.28131347330000001</v>
      </c>
      <c r="D123">
        <v>0.33389629609999999</v>
      </c>
      <c r="E123">
        <v>0.39090000000000003</v>
      </c>
      <c r="H123">
        <v>1486493460</v>
      </c>
      <c r="I123">
        <v>0</v>
      </c>
    </row>
    <row r="124" spans="1:9" ht="15.75" thickBot="1" x14ac:dyDescent="0.3">
      <c r="A124" s="1">
        <v>45679</v>
      </c>
      <c r="B124">
        <v>0.1434</v>
      </c>
      <c r="C124">
        <v>0.31313473260000002</v>
      </c>
      <c r="D124">
        <v>0.35875001709999998</v>
      </c>
      <c r="E124">
        <v>0.3926</v>
      </c>
      <c r="H124">
        <v>1507498828</v>
      </c>
      <c r="I124">
        <v>0</v>
      </c>
    </row>
    <row r="125" spans="1:9" ht="15.75" thickBot="1" x14ac:dyDescent="0.3">
      <c r="A125" s="1">
        <v>45680</v>
      </c>
      <c r="B125">
        <v>0.1288</v>
      </c>
      <c r="C125">
        <v>0.31313473260000002</v>
      </c>
      <c r="D125">
        <v>0.39439480929999998</v>
      </c>
      <c r="E125">
        <v>0.41189999999999999</v>
      </c>
      <c r="H125">
        <v>1488282680</v>
      </c>
      <c r="I125">
        <v>0</v>
      </c>
    </row>
    <row r="126" spans="1:9" ht="15.75" thickBot="1" x14ac:dyDescent="0.3">
      <c r="A126" s="1">
        <v>45681</v>
      </c>
      <c r="B126">
        <v>0.1288</v>
      </c>
      <c r="C126">
        <v>0.31313473260000002</v>
      </c>
      <c r="D126">
        <v>0.39439480929999998</v>
      </c>
      <c r="E126">
        <v>0.41189999999999999</v>
      </c>
      <c r="H126">
        <v>1488282680</v>
      </c>
      <c r="I126">
        <v>0</v>
      </c>
    </row>
    <row r="127" spans="1:9" ht="15.75" thickBot="1" x14ac:dyDescent="0.3">
      <c r="A127" s="1">
        <v>45682</v>
      </c>
      <c r="B127">
        <v>0.18640000000000001</v>
      </c>
      <c r="C127">
        <v>0.3205822613</v>
      </c>
      <c r="D127">
        <v>0.39439480929999998</v>
      </c>
      <c r="E127">
        <v>0.41110000000000002</v>
      </c>
      <c r="H127">
        <v>1564224594</v>
      </c>
      <c r="I127">
        <v>0</v>
      </c>
    </row>
    <row r="128" spans="1:9" ht="15.75" thickBot="1" x14ac:dyDescent="0.3">
      <c r="A128" s="1">
        <v>45683</v>
      </c>
      <c r="B128">
        <v>0.18440000000000001</v>
      </c>
      <c r="C128">
        <v>0.29959377120000003</v>
      </c>
      <c r="D128">
        <v>0.41706291020000003</v>
      </c>
      <c r="E128">
        <v>0.4153</v>
      </c>
      <c r="H128">
        <v>1561555984</v>
      </c>
      <c r="I128">
        <v>0</v>
      </c>
    </row>
    <row r="129" spans="1:9" ht="15.75" thickBot="1" x14ac:dyDescent="0.3">
      <c r="A129" s="1">
        <v>45684</v>
      </c>
      <c r="B129">
        <v>0.18429999999999999</v>
      </c>
      <c r="C129">
        <v>0.29519295870000001</v>
      </c>
      <c r="D129">
        <v>0.42168765499999999</v>
      </c>
      <c r="E129">
        <v>0.41689999999999999</v>
      </c>
      <c r="H129">
        <v>1561367096</v>
      </c>
      <c r="I129">
        <v>0</v>
      </c>
    </row>
    <row r="130" spans="1:9" ht="15.75" thickBot="1" x14ac:dyDescent="0.3">
      <c r="A130" s="1">
        <v>45685</v>
      </c>
      <c r="B130">
        <v>0.18429999999999999</v>
      </c>
      <c r="C130">
        <v>0.29519295870000001</v>
      </c>
      <c r="D130">
        <v>0.41387012350000002</v>
      </c>
      <c r="E130">
        <v>0.41860000000000003</v>
      </c>
      <c r="H130">
        <v>1561367096</v>
      </c>
      <c r="I130">
        <v>0</v>
      </c>
    </row>
    <row r="131" spans="1:9" ht="15.75" thickBot="1" x14ac:dyDescent="0.3">
      <c r="A131" s="1">
        <v>45686</v>
      </c>
      <c r="B131">
        <v>0.21590000000000001</v>
      </c>
      <c r="C131">
        <v>0.29350033850000001</v>
      </c>
      <c r="D131">
        <v>0.41387012350000002</v>
      </c>
      <c r="E131">
        <v>0.4052</v>
      </c>
      <c r="H131">
        <v>1603000637</v>
      </c>
      <c r="I131">
        <v>0</v>
      </c>
    </row>
    <row r="132" spans="1:9" ht="15.75" thickBot="1" x14ac:dyDescent="0.3">
      <c r="A132" s="1">
        <v>45687</v>
      </c>
      <c r="B132">
        <v>0.20630000000000001</v>
      </c>
      <c r="C132">
        <v>0.29350033850000001</v>
      </c>
      <c r="D132">
        <v>0.40609370080000001</v>
      </c>
      <c r="E132">
        <v>0.41020000000000001</v>
      </c>
      <c r="H132">
        <v>1590377717</v>
      </c>
      <c r="I132">
        <v>0</v>
      </c>
    </row>
    <row r="133" spans="1:9" ht="15.75" thickBot="1" x14ac:dyDescent="0.3">
      <c r="A133" s="1">
        <v>45688</v>
      </c>
      <c r="B133">
        <v>0.20630000000000001</v>
      </c>
      <c r="C133">
        <v>0.29350033850000001</v>
      </c>
      <c r="D133">
        <v>0.40609370080000001</v>
      </c>
      <c r="E133">
        <v>0.41020000000000001</v>
      </c>
      <c r="H133">
        <v>1590377717</v>
      </c>
      <c r="I133">
        <v>0</v>
      </c>
    </row>
    <row r="134" spans="1:9" ht="15.75" thickBot="1" x14ac:dyDescent="0.3">
      <c r="A134" s="1">
        <v>45689</v>
      </c>
      <c r="B134">
        <v>0.20250000000000001</v>
      </c>
      <c r="C134">
        <v>0.2735274204</v>
      </c>
      <c r="D134">
        <v>0.40609370080000001</v>
      </c>
      <c r="E134">
        <v>0.4158</v>
      </c>
      <c r="H134">
        <v>1585413409</v>
      </c>
      <c r="I134">
        <v>0</v>
      </c>
    </row>
    <row r="135" spans="1:9" ht="15.75" thickBot="1" x14ac:dyDescent="0.3">
      <c r="A135" s="1">
        <v>45690</v>
      </c>
      <c r="B135">
        <v>0.19209999999999999</v>
      </c>
      <c r="C135">
        <v>0.28334461750000001</v>
      </c>
      <c r="D135">
        <v>0.43291036900000002</v>
      </c>
      <c r="E135">
        <v>0.4178</v>
      </c>
      <c r="H135">
        <v>1571641773</v>
      </c>
      <c r="I135">
        <v>0</v>
      </c>
    </row>
    <row r="136" spans="1:9" ht="15.75" thickBot="1" x14ac:dyDescent="0.3">
      <c r="A136" s="1">
        <v>45691</v>
      </c>
      <c r="B136">
        <v>0.20169999999999999</v>
      </c>
      <c r="C136">
        <v>0.29790115099999998</v>
      </c>
      <c r="D136">
        <v>0.45207736679999999</v>
      </c>
      <c r="E136">
        <v>0.41470000000000001</v>
      </c>
      <c r="H136">
        <v>1584310642</v>
      </c>
      <c r="I136">
        <v>0</v>
      </c>
    </row>
    <row r="137" spans="1:9" ht="15.75" thickBot="1" x14ac:dyDescent="0.3">
      <c r="A137" s="1">
        <v>45692</v>
      </c>
      <c r="B137">
        <v>0.19109999999999999</v>
      </c>
      <c r="C137">
        <v>0.3144888287</v>
      </c>
      <c r="D137">
        <v>0.45571892510000001</v>
      </c>
      <c r="E137">
        <v>0.42699999999999999</v>
      </c>
      <c r="H137">
        <v>1570363775</v>
      </c>
      <c r="I137">
        <v>0</v>
      </c>
    </row>
    <row r="138" spans="1:9" ht="15.75" thickBot="1" x14ac:dyDescent="0.3">
      <c r="A138" s="1">
        <v>45693</v>
      </c>
      <c r="B138">
        <v>0.22020000000000001</v>
      </c>
      <c r="C138">
        <v>0.30399458359999998</v>
      </c>
      <c r="D138">
        <v>0.45886717729999998</v>
      </c>
      <c r="E138">
        <v>0.44040000000000001</v>
      </c>
      <c r="H138">
        <v>1608694220</v>
      </c>
      <c r="I138">
        <v>0</v>
      </c>
    </row>
    <row r="139" spans="1:9" ht="15.75" thickBot="1" x14ac:dyDescent="0.3">
      <c r="A139" s="1">
        <v>45694</v>
      </c>
      <c r="B139">
        <v>0.20610000000000001</v>
      </c>
      <c r="C139">
        <v>0.30399458359999998</v>
      </c>
      <c r="D139">
        <v>0.50874248050000004</v>
      </c>
      <c r="E139">
        <v>0.44629999999999997</v>
      </c>
      <c r="H139">
        <v>1590139525</v>
      </c>
      <c r="I139">
        <v>0</v>
      </c>
    </row>
    <row r="140" spans="1:9" ht="15.75" thickBot="1" x14ac:dyDescent="0.3">
      <c r="A140" s="1">
        <v>45695</v>
      </c>
      <c r="B140">
        <v>0.20610000000000001</v>
      </c>
      <c r="C140">
        <v>0.30399458359999998</v>
      </c>
      <c r="D140">
        <v>0.50874248050000004</v>
      </c>
      <c r="E140">
        <v>0.44629999999999997</v>
      </c>
      <c r="H140">
        <v>1590139525</v>
      </c>
      <c r="I140">
        <v>0</v>
      </c>
    </row>
    <row r="141" spans="1:9" ht="15.75" thickBot="1" x14ac:dyDescent="0.3">
      <c r="A141" s="1">
        <v>45696</v>
      </c>
      <c r="B141">
        <v>0.20610000000000001</v>
      </c>
      <c r="C141">
        <v>0.30399458359999998</v>
      </c>
      <c r="D141">
        <v>0.50874248050000004</v>
      </c>
      <c r="E141">
        <v>0.50600000000000001</v>
      </c>
      <c r="H141">
        <v>1590139525</v>
      </c>
      <c r="I141">
        <v>0</v>
      </c>
    </row>
    <row r="142" spans="1:9" ht="15.75" thickBot="1" x14ac:dyDescent="0.3">
      <c r="A142" s="1">
        <v>45697</v>
      </c>
      <c r="B142">
        <v>0.25719999999999998</v>
      </c>
      <c r="C142">
        <v>0.33615436700000001</v>
      </c>
      <c r="D142">
        <v>0.50874248050000004</v>
      </c>
      <c r="E142">
        <v>0.55969999999999998</v>
      </c>
      <c r="H142">
        <v>1657568321</v>
      </c>
      <c r="I142">
        <v>0</v>
      </c>
    </row>
    <row r="143" spans="1:9" ht="15.75" thickBot="1" x14ac:dyDescent="0.3">
      <c r="A143" s="1">
        <v>45698</v>
      </c>
      <c r="B143">
        <v>0.25719999999999998</v>
      </c>
      <c r="C143">
        <v>0.33615436700000001</v>
      </c>
      <c r="D143">
        <v>0.65211642020000005</v>
      </c>
      <c r="E143">
        <v>0.54879999999999995</v>
      </c>
      <c r="H143">
        <v>1657568321</v>
      </c>
      <c r="I143">
        <v>0</v>
      </c>
    </row>
    <row r="144" spans="1:9" ht="15.75" thickBot="1" x14ac:dyDescent="0.3">
      <c r="A144" s="1">
        <v>45699</v>
      </c>
      <c r="B144">
        <v>0.183</v>
      </c>
      <c r="C144">
        <v>0.33615436700000001</v>
      </c>
      <c r="D144">
        <v>0.65211642020000005</v>
      </c>
      <c r="E144">
        <v>0.50090000000000001</v>
      </c>
      <c r="H144">
        <v>1559698963</v>
      </c>
      <c r="I144">
        <v>0</v>
      </c>
    </row>
    <row r="145" spans="1:9" ht="15.75" thickBot="1" x14ac:dyDescent="0.3">
      <c r="A145" s="1">
        <v>45700</v>
      </c>
      <c r="B145">
        <v>0.183</v>
      </c>
      <c r="C145">
        <v>0.33615436700000001</v>
      </c>
      <c r="D145">
        <v>0.62046261150000004</v>
      </c>
      <c r="E145">
        <v>0.49840000000000001</v>
      </c>
      <c r="H145">
        <v>1559698963</v>
      </c>
      <c r="I145">
        <v>0</v>
      </c>
    </row>
    <row r="146" spans="1:9" ht="15.75" thickBot="1" x14ac:dyDescent="0.3">
      <c r="A146" s="1">
        <v>45701</v>
      </c>
      <c r="B146">
        <v>0.17630000000000001</v>
      </c>
      <c r="C146">
        <v>0.33615436700000001</v>
      </c>
      <c r="D146">
        <v>0.62046261150000004</v>
      </c>
      <c r="E146">
        <v>0.51270000000000004</v>
      </c>
      <c r="H146">
        <v>1550779325</v>
      </c>
      <c r="I146">
        <v>0</v>
      </c>
    </row>
    <row r="147" spans="1:9" ht="15.75" thickBot="1" x14ac:dyDescent="0.3">
      <c r="A147" s="1">
        <v>45702</v>
      </c>
      <c r="B147">
        <v>0.17630000000000001</v>
      </c>
      <c r="C147">
        <v>0.33615436700000001</v>
      </c>
      <c r="D147">
        <v>0.62046261150000004</v>
      </c>
      <c r="E147">
        <v>0.51270000000000004</v>
      </c>
      <c r="H147">
        <v>1550779325</v>
      </c>
      <c r="I147">
        <v>0</v>
      </c>
    </row>
    <row r="148" spans="1:9" ht="15.75" thickBot="1" x14ac:dyDescent="0.3">
      <c r="A148" s="1">
        <v>45703</v>
      </c>
      <c r="B148">
        <v>0.19359999999999999</v>
      </c>
      <c r="C148">
        <v>0.33615436700000001</v>
      </c>
      <c r="D148">
        <v>0.62046261150000004</v>
      </c>
      <c r="E148">
        <v>0.53449999999999998</v>
      </c>
      <c r="H148">
        <v>1573611159</v>
      </c>
      <c r="I148">
        <v>0</v>
      </c>
    </row>
    <row r="149" spans="1:9" ht="15.75" thickBot="1" x14ac:dyDescent="0.3">
      <c r="A149" s="1">
        <v>45704</v>
      </c>
      <c r="B149">
        <v>0.17560000000000001</v>
      </c>
      <c r="C149">
        <v>0.31295358080000002</v>
      </c>
      <c r="D149">
        <v>0.65079751149999998</v>
      </c>
      <c r="E149">
        <v>0.53369999999999995</v>
      </c>
      <c r="H149">
        <v>1549957814</v>
      </c>
      <c r="I149">
        <v>0</v>
      </c>
    </row>
    <row r="150" spans="1:9" ht="15.75" thickBot="1" x14ac:dyDescent="0.3">
      <c r="A150" s="1">
        <v>45705</v>
      </c>
      <c r="B150">
        <v>0.19739999999999999</v>
      </c>
      <c r="C150">
        <v>0.33404520459999998</v>
      </c>
      <c r="D150">
        <v>0.64750195269999999</v>
      </c>
      <c r="E150">
        <v>0.53620000000000001</v>
      </c>
      <c r="H150">
        <v>1578723242</v>
      </c>
      <c r="I150">
        <v>0</v>
      </c>
    </row>
    <row r="151" spans="1:9" ht="15.75" thickBot="1" x14ac:dyDescent="0.3">
      <c r="A151" s="1">
        <v>45706</v>
      </c>
      <c r="B151">
        <v>0.1993</v>
      </c>
      <c r="C151">
        <v>0.34775476</v>
      </c>
      <c r="D151">
        <v>0.67014264769999998</v>
      </c>
      <c r="E151">
        <v>0.55300000000000005</v>
      </c>
      <c r="H151">
        <v>1581224262</v>
      </c>
      <c r="I151">
        <v>0</v>
      </c>
    </row>
    <row r="152" spans="1:9" ht="15.75" thickBot="1" x14ac:dyDescent="0.3">
      <c r="A152" s="1">
        <v>45707</v>
      </c>
      <c r="B152">
        <v>0.19950000000000001</v>
      </c>
      <c r="C152">
        <v>0.35830057189999998</v>
      </c>
      <c r="D152">
        <v>0.70571892510000001</v>
      </c>
      <c r="E152">
        <v>0.55800000000000005</v>
      </c>
      <c r="H152">
        <v>1581398993</v>
      </c>
      <c r="I152">
        <v>0</v>
      </c>
    </row>
    <row r="153" spans="1:9" ht="15.75" thickBot="1" x14ac:dyDescent="0.3">
      <c r="A153" s="1">
        <v>45708</v>
      </c>
      <c r="B153">
        <v>0.14949999999999999</v>
      </c>
      <c r="C153">
        <v>0.35830057189999998</v>
      </c>
      <c r="D153">
        <v>0.7834934294</v>
      </c>
      <c r="E153">
        <v>0.58069999999999999</v>
      </c>
      <c r="H153">
        <v>1515506526</v>
      </c>
      <c r="I153">
        <v>0</v>
      </c>
    </row>
    <row r="154" spans="1:9" ht="15.75" thickBot="1" x14ac:dyDescent="0.3">
      <c r="A154" s="1">
        <v>45709</v>
      </c>
      <c r="B154">
        <v>0.14949999999999999</v>
      </c>
      <c r="C154">
        <v>0.35830057189999998</v>
      </c>
      <c r="D154">
        <v>0.7834934294</v>
      </c>
      <c r="E154">
        <v>0.58069999999999999</v>
      </c>
      <c r="H154">
        <v>1515506526</v>
      </c>
      <c r="I154">
        <v>0</v>
      </c>
    </row>
    <row r="155" spans="1:9" ht="15.75" thickBot="1" x14ac:dyDescent="0.3">
      <c r="A155" s="1">
        <v>45710</v>
      </c>
      <c r="B155">
        <v>0.20860000000000001</v>
      </c>
      <c r="C155">
        <v>0.35408224719999998</v>
      </c>
      <c r="D155">
        <v>0.7834934294</v>
      </c>
      <c r="E155">
        <v>0.57399999999999995</v>
      </c>
      <c r="H155">
        <v>1593482913</v>
      </c>
      <c r="I155">
        <v>0</v>
      </c>
    </row>
    <row r="156" spans="1:9" ht="15.75" thickBot="1" x14ac:dyDescent="0.3">
      <c r="A156" s="1">
        <v>45711</v>
      </c>
      <c r="B156">
        <v>0.17519999999999999</v>
      </c>
      <c r="C156">
        <v>0.38044677690000001</v>
      </c>
      <c r="D156">
        <v>0.849586171</v>
      </c>
      <c r="E156">
        <v>0.56610000000000005</v>
      </c>
      <c r="H156">
        <v>1549360114</v>
      </c>
      <c r="I156">
        <v>0</v>
      </c>
    </row>
    <row r="157" spans="1:9" ht="15.75" thickBot="1" x14ac:dyDescent="0.3">
      <c r="A157" s="1">
        <v>45712</v>
      </c>
      <c r="B157">
        <v>0.17960000000000001</v>
      </c>
      <c r="C157">
        <v>0.41630253740000001</v>
      </c>
      <c r="D157">
        <v>0.76900941389999999</v>
      </c>
      <c r="E157">
        <v>0.54630000000000001</v>
      </c>
      <c r="H157">
        <v>1555229741</v>
      </c>
      <c r="I157">
        <v>0</v>
      </c>
    </row>
    <row r="158" spans="1:9" ht="15.75" thickBot="1" x14ac:dyDescent="0.3">
      <c r="A158" s="1">
        <v>45713</v>
      </c>
      <c r="B158">
        <v>0.15490000000000001</v>
      </c>
      <c r="C158">
        <v>0.43001209280000002</v>
      </c>
      <c r="D158">
        <v>0.77848500210000005</v>
      </c>
      <c r="E158">
        <v>0.55969999999999998</v>
      </c>
      <c r="H158">
        <v>1522686028</v>
      </c>
      <c r="I158">
        <v>0</v>
      </c>
    </row>
    <row r="159" spans="1:9" ht="15.75" thickBot="1" x14ac:dyDescent="0.3">
      <c r="A159" s="1">
        <v>45714</v>
      </c>
      <c r="B159">
        <v>0.1673</v>
      </c>
      <c r="C159">
        <v>0.41524795619999999</v>
      </c>
      <c r="D159">
        <v>0.72430354770000005</v>
      </c>
      <c r="E159">
        <v>0.56559999999999999</v>
      </c>
      <c r="H159">
        <v>1538928455</v>
      </c>
      <c r="I159">
        <v>0</v>
      </c>
    </row>
    <row r="160" spans="1:9" ht="15.75" thickBot="1" x14ac:dyDescent="0.3">
      <c r="A160" s="1">
        <v>45715</v>
      </c>
      <c r="B160">
        <v>0.18129999999999999</v>
      </c>
      <c r="C160">
        <v>0.41524795619999999</v>
      </c>
      <c r="D160">
        <v>0.76700535790000002</v>
      </c>
      <c r="E160">
        <v>0.56220000000000003</v>
      </c>
      <c r="H160">
        <v>1557496096</v>
      </c>
      <c r="I160">
        <v>0</v>
      </c>
    </row>
    <row r="161" spans="1:9" ht="15.75" thickBot="1" x14ac:dyDescent="0.3">
      <c r="A161" s="1">
        <v>45716</v>
      </c>
      <c r="B161">
        <v>0.18129999999999999</v>
      </c>
      <c r="C161">
        <v>0.41524795619999999</v>
      </c>
      <c r="D161">
        <v>0.76700535790000002</v>
      </c>
      <c r="E161">
        <v>0.56220000000000003</v>
      </c>
      <c r="H161">
        <v>1557496096</v>
      </c>
      <c r="I161">
        <v>0</v>
      </c>
    </row>
    <row r="162" spans="1:9" ht="15.75" thickBot="1" x14ac:dyDescent="0.3">
      <c r="A162" s="1">
        <v>45717</v>
      </c>
      <c r="B162">
        <v>0.16919999999999999</v>
      </c>
      <c r="C162">
        <v>0.4205208621</v>
      </c>
      <c r="D162">
        <v>0.76700535790000002</v>
      </c>
      <c r="E162">
        <v>0.55720000000000003</v>
      </c>
      <c r="H162">
        <v>1541432398</v>
      </c>
      <c r="I162">
        <v>0</v>
      </c>
    </row>
    <row r="163" spans="1:9" ht="15.75" thickBot="1" x14ac:dyDescent="0.3">
      <c r="A163" s="1">
        <v>45718</v>
      </c>
      <c r="B163">
        <v>0.1552</v>
      </c>
      <c r="C163">
        <v>0.43317583640000001</v>
      </c>
      <c r="D163">
        <v>0.6927422339</v>
      </c>
      <c r="E163">
        <v>0.55640000000000001</v>
      </c>
      <c r="H163">
        <v>1522973457</v>
      </c>
      <c r="I163">
        <v>0</v>
      </c>
    </row>
    <row r="164" spans="1:9" ht="15.75" thickBot="1" x14ac:dyDescent="0.3">
      <c r="A164" s="1">
        <v>45719</v>
      </c>
      <c r="B164">
        <v>0.157</v>
      </c>
      <c r="C164">
        <v>0.40892046900000001</v>
      </c>
      <c r="D164">
        <v>0.67379790890000002</v>
      </c>
      <c r="E164">
        <v>0.53449999999999998</v>
      </c>
      <c r="H164">
        <v>1525381695</v>
      </c>
      <c r="I164">
        <v>0</v>
      </c>
    </row>
    <row r="165" spans="1:9" ht="15.75" thickBot="1" x14ac:dyDescent="0.3">
      <c r="A165" s="1">
        <v>45720</v>
      </c>
      <c r="B165">
        <v>0.15490000000000001</v>
      </c>
      <c r="C165">
        <v>0.40470214430000001</v>
      </c>
      <c r="D165">
        <v>0.63657042630000005</v>
      </c>
      <c r="E165">
        <v>0.52949999999999997</v>
      </c>
      <c r="H165">
        <v>1522568909</v>
      </c>
      <c r="I165">
        <v>0</v>
      </c>
    </row>
    <row r="166" spans="1:9" ht="15.75" thickBot="1" x14ac:dyDescent="0.3">
      <c r="A166" s="1">
        <v>45721</v>
      </c>
      <c r="B166">
        <v>0.17130000000000001</v>
      </c>
      <c r="C166">
        <v>0.39415633239999998</v>
      </c>
      <c r="D166">
        <v>0.66205105720000001</v>
      </c>
      <c r="E166">
        <v>0.495</v>
      </c>
      <c r="H166">
        <v>1544240714</v>
      </c>
      <c r="I166">
        <v>0</v>
      </c>
    </row>
    <row r="167" spans="1:9" ht="15.75" thickBot="1" x14ac:dyDescent="0.3">
      <c r="A167" s="1">
        <v>45722</v>
      </c>
      <c r="B167">
        <v>0.16869999999999999</v>
      </c>
      <c r="C167">
        <v>0.39415633239999998</v>
      </c>
      <c r="D167">
        <v>0.62616988910000004</v>
      </c>
      <c r="E167">
        <v>0.50480000000000003</v>
      </c>
      <c r="H167">
        <v>1540856813</v>
      </c>
      <c r="I167">
        <v>0</v>
      </c>
    </row>
    <row r="168" spans="1:9" ht="15.75" thickBot="1" x14ac:dyDescent="0.3">
      <c r="A168" s="1">
        <v>45723</v>
      </c>
      <c r="B168">
        <v>0.16869999999999999</v>
      </c>
      <c r="C168">
        <v>0.39415633239999998</v>
      </c>
      <c r="D168">
        <v>0.62616988910000004</v>
      </c>
      <c r="E168">
        <v>0.50480000000000003</v>
      </c>
      <c r="H168">
        <v>1540856813</v>
      </c>
      <c r="I168">
        <v>0</v>
      </c>
    </row>
    <row r="169" spans="1:9" ht="15.75" thickBot="1" x14ac:dyDescent="0.3">
      <c r="A169" s="1">
        <v>45724</v>
      </c>
      <c r="B169">
        <v>0.16200000000000001</v>
      </c>
      <c r="C169">
        <v>0.37622845220000001</v>
      </c>
      <c r="D169">
        <v>0.62616988910000004</v>
      </c>
      <c r="E169">
        <v>0.54290000000000005</v>
      </c>
      <c r="H169">
        <v>1532010339</v>
      </c>
      <c r="I169">
        <v>0</v>
      </c>
    </row>
    <row r="170" spans="1:9" ht="15.75" thickBot="1" x14ac:dyDescent="0.3">
      <c r="A170" s="1">
        <v>45725</v>
      </c>
      <c r="B170">
        <v>0.14699999999999999</v>
      </c>
      <c r="C170">
        <v>0.36040973430000001</v>
      </c>
      <c r="D170">
        <v>0.69349589599999995</v>
      </c>
      <c r="E170">
        <v>0.55720000000000003</v>
      </c>
      <c r="H170">
        <v>1512194225</v>
      </c>
      <c r="I170">
        <v>0</v>
      </c>
    </row>
    <row r="171" spans="1:9" ht="15.75" thickBot="1" x14ac:dyDescent="0.3">
      <c r="A171" s="1">
        <v>45726</v>
      </c>
      <c r="B171">
        <v>0.15140000000000001</v>
      </c>
      <c r="C171">
        <v>0.3677918026</v>
      </c>
      <c r="D171">
        <v>0.7446318703</v>
      </c>
      <c r="E171">
        <v>0.56259999999999999</v>
      </c>
      <c r="H171">
        <v>1517970992</v>
      </c>
      <c r="I171">
        <v>0</v>
      </c>
    </row>
    <row r="172" spans="1:9" ht="15.75" thickBot="1" x14ac:dyDescent="0.3">
      <c r="A172" s="1">
        <v>45727</v>
      </c>
      <c r="B172">
        <v>0.15129999999999999</v>
      </c>
      <c r="C172">
        <v>0.3519730848</v>
      </c>
      <c r="D172">
        <v>0.73671841810000005</v>
      </c>
      <c r="E172">
        <v>0.56610000000000005</v>
      </c>
      <c r="H172">
        <v>1517823005</v>
      </c>
      <c r="I172">
        <v>0</v>
      </c>
    </row>
    <row r="173" spans="1:9" ht="15.75" thickBot="1" x14ac:dyDescent="0.3">
      <c r="A173" s="1">
        <v>45728</v>
      </c>
      <c r="B173">
        <v>0.14990000000000001</v>
      </c>
      <c r="C173">
        <v>0.34459101650000001</v>
      </c>
      <c r="D173">
        <v>0.71592419529999995</v>
      </c>
      <c r="E173">
        <v>0.56640000000000001</v>
      </c>
      <c r="H173">
        <v>1516078068</v>
      </c>
      <c r="I173">
        <v>0</v>
      </c>
    </row>
    <row r="174" spans="1:9" ht="15.75" thickBot="1" x14ac:dyDescent="0.3">
      <c r="A174" s="1">
        <v>45729</v>
      </c>
      <c r="B174">
        <v>0.14269999999999999</v>
      </c>
      <c r="C174">
        <v>0.34459101650000001</v>
      </c>
      <c r="D174">
        <v>0.70886717730000004</v>
      </c>
      <c r="E174">
        <v>0.56059999999999999</v>
      </c>
      <c r="H174">
        <v>1506542197</v>
      </c>
      <c r="I174">
        <v>0</v>
      </c>
    </row>
    <row r="175" spans="1:9" ht="15.75" thickBot="1" x14ac:dyDescent="0.3">
      <c r="A175" s="1">
        <v>45730</v>
      </c>
      <c r="B175">
        <v>0.14269999999999999</v>
      </c>
      <c r="C175">
        <v>0.34459101650000001</v>
      </c>
      <c r="D175">
        <v>0.70886717730000004</v>
      </c>
      <c r="E175">
        <v>0.56059999999999999</v>
      </c>
      <c r="H175">
        <v>1506542197</v>
      </c>
      <c r="I175">
        <v>0</v>
      </c>
    </row>
    <row r="176" spans="1:9" ht="15.75" thickBot="1" x14ac:dyDescent="0.3">
      <c r="A176" s="1">
        <v>45731</v>
      </c>
      <c r="B176">
        <v>0.1583</v>
      </c>
      <c r="C176">
        <v>0.38466510170000001</v>
      </c>
      <c r="D176">
        <v>0.70886717730000004</v>
      </c>
      <c r="E176">
        <v>0.54410000000000003</v>
      </c>
      <c r="H176">
        <v>1527162260</v>
      </c>
      <c r="I176">
        <v>0</v>
      </c>
    </row>
    <row r="177" spans="1:9" ht="15.75" thickBot="1" x14ac:dyDescent="0.3">
      <c r="A177" s="1">
        <v>45732</v>
      </c>
      <c r="B177">
        <v>0.1368</v>
      </c>
      <c r="C177">
        <v>0.38044677690000001</v>
      </c>
      <c r="D177">
        <v>0.70979897780000001</v>
      </c>
      <c r="E177">
        <v>0.57820000000000005</v>
      </c>
      <c r="H177">
        <v>1498708956</v>
      </c>
      <c r="I177">
        <v>0</v>
      </c>
    </row>
    <row r="178" spans="1:9" ht="15.75" thickBot="1" x14ac:dyDescent="0.3">
      <c r="A178" s="1">
        <v>45733</v>
      </c>
      <c r="B178">
        <v>0.13669999999999999</v>
      </c>
      <c r="C178">
        <v>0.37306470860000002</v>
      </c>
      <c r="D178">
        <v>0.76338092820000003</v>
      </c>
      <c r="E178">
        <v>0.60589999999999999</v>
      </c>
      <c r="H178">
        <v>1498670013</v>
      </c>
      <c r="I178">
        <v>0</v>
      </c>
    </row>
    <row r="179" spans="1:9" ht="15.75" thickBot="1" x14ac:dyDescent="0.3">
      <c r="A179" s="1">
        <v>45734</v>
      </c>
      <c r="B179">
        <v>0.15029999999999999</v>
      </c>
      <c r="C179">
        <v>0.3519730848</v>
      </c>
      <c r="D179">
        <v>0.85919193719999998</v>
      </c>
      <c r="E179">
        <v>0.65629999999999999</v>
      </c>
      <c r="H179">
        <v>1516538140</v>
      </c>
      <c r="I179">
        <v>0</v>
      </c>
    </row>
    <row r="180" spans="1:9" ht="15.75" thickBot="1" x14ac:dyDescent="0.3">
      <c r="A180" s="1">
        <v>45735</v>
      </c>
      <c r="B180">
        <v>0.15029999999999999</v>
      </c>
      <c r="C180">
        <v>0.3519730848</v>
      </c>
      <c r="D180">
        <v>0.98350165119999999</v>
      </c>
      <c r="E180">
        <v>0.65290000000000004</v>
      </c>
      <c r="H180">
        <v>1516538140</v>
      </c>
      <c r="I180">
        <v>0</v>
      </c>
    </row>
    <row r="181" spans="1:9" ht="15.75" thickBot="1" x14ac:dyDescent="0.3">
      <c r="A181" s="1">
        <v>45736</v>
      </c>
      <c r="B181">
        <v>0.15029999999999999</v>
      </c>
      <c r="C181">
        <v>0.3519730848</v>
      </c>
      <c r="D181">
        <v>0.98350165119999999</v>
      </c>
      <c r="E181">
        <v>0.65039999999999998</v>
      </c>
      <c r="H181">
        <v>1516538140</v>
      </c>
      <c r="I181">
        <v>0</v>
      </c>
    </row>
    <row r="182" spans="1:9" ht="15.75" thickBot="1" x14ac:dyDescent="0.3">
      <c r="A182" s="1">
        <v>45737</v>
      </c>
      <c r="B182">
        <v>0.15029999999999999</v>
      </c>
      <c r="C182">
        <v>0.3519730848</v>
      </c>
      <c r="D182">
        <v>0.98350165119999999</v>
      </c>
      <c r="E182">
        <v>0.65039999999999998</v>
      </c>
      <c r="H182">
        <v>1516538140</v>
      </c>
      <c r="I182">
        <v>0</v>
      </c>
    </row>
    <row r="183" spans="1:9" ht="15.75" thickBot="1" x14ac:dyDescent="0.3">
      <c r="A183" s="1">
        <v>45738</v>
      </c>
      <c r="B183">
        <v>0.15029999999999999</v>
      </c>
      <c r="C183">
        <v>0.3519730848</v>
      </c>
      <c r="D183">
        <v>0.98350165119999999</v>
      </c>
      <c r="E183">
        <v>0.65039999999999998</v>
      </c>
      <c r="H183">
        <v>1516538140</v>
      </c>
      <c r="I183">
        <v>0</v>
      </c>
    </row>
    <row r="184" spans="1:9" ht="15.75" thickBot="1" x14ac:dyDescent="0.3">
      <c r="A184" s="1">
        <v>45739</v>
      </c>
      <c r="B184">
        <v>0.15029999999999999</v>
      </c>
      <c r="C184">
        <v>0.3519730848</v>
      </c>
      <c r="D184">
        <v>0.98350165119999999</v>
      </c>
      <c r="E184">
        <v>0.65039999999999998</v>
      </c>
      <c r="H184">
        <v>1516538140</v>
      </c>
      <c r="I184">
        <v>0</v>
      </c>
    </row>
    <row r="185" spans="1:9" ht="15.75" thickBot="1" x14ac:dyDescent="0.3">
      <c r="A185" s="1">
        <v>45740</v>
      </c>
      <c r="B185">
        <v>0.15029999999999999</v>
      </c>
      <c r="C185">
        <v>0.3519730848</v>
      </c>
      <c r="D185">
        <v>0.98350165119999999</v>
      </c>
      <c r="E185">
        <v>0.65039999999999998</v>
      </c>
      <c r="H185">
        <v>1516538140</v>
      </c>
      <c r="I185">
        <v>0</v>
      </c>
    </row>
    <row r="186" spans="1:9" ht="15.75" thickBot="1" x14ac:dyDescent="0.3">
      <c r="A186" s="1">
        <v>45741</v>
      </c>
      <c r="B186">
        <v>0.1343</v>
      </c>
      <c r="C186">
        <v>0.38993800760000003</v>
      </c>
      <c r="D186">
        <v>0.98350165119999999</v>
      </c>
      <c r="E186">
        <v>0.72350000000000003</v>
      </c>
      <c r="H186">
        <v>1495491931</v>
      </c>
      <c r="I186">
        <v>0</v>
      </c>
    </row>
    <row r="187" spans="1:9" ht="15.75" thickBot="1" x14ac:dyDescent="0.3">
      <c r="A187" s="1">
        <v>45742</v>
      </c>
      <c r="B187">
        <v>0.13819999999999999</v>
      </c>
      <c r="C187">
        <v>0.4004838195</v>
      </c>
      <c r="D187">
        <v>0.95379708679999997</v>
      </c>
      <c r="E187">
        <v>0.7218</v>
      </c>
      <c r="H187">
        <v>1500615921</v>
      </c>
      <c r="I187">
        <v>0</v>
      </c>
    </row>
    <row r="188" spans="1:9" ht="15.75" thickBot="1" x14ac:dyDescent="0.3">
      <c r="A188" s="1">
        <v>45743</v>
      </c>
      <c r="B188">
        <v>0.1026</v>
      </c>
      <c r="C188">
        <v>0.4004838195</v>
      </c>
      <c r="D188">
        <v>1.030447949</v>
      </c>
      <c r="E188">
        <v>0.7319</v>
      </c>
      <c r="H188">
        <v>1453637187</v>
      </c>
      <c r="I188">
        <v>0</v>
      </c>
    </row>
    <row r="189" spans="1:9" ht="15.75" thickBot="1" x14ac:dyDescent="0.3">
      <c r="A189" s="1">
        <v>45744</v>
      </c>
      <c r="B189">
        <v>0.1026</v>
      </c>
      <c r="C189">
        <v>0.4004838195</v>
      </c>
      <c r="D189">
        <v>1.030447949</v>
      </c>
      <c r="E189">
        <v>0.7319</v>
      </c>
      <c r="H189">
        <v>1453637187</v>
      </c>
      <c r="I189">
        <v>0</v>
      </c>
    </row>
    <row r="190" spans="1:9" ht="15.75" thickBot="1" x14ac:dyDescent="0.3">
      <c r="A190" s="1">
        <v>45745</v>
      </c>
      <c r="B190">
        <v>0.1406</v>
      </c>
      <c r="C190">
        <v>0.42157544330000002</v>
      </c>
      <c r="D190">
        <v>1.030447949</v>
      </c>
      <c r="E190">
        <v>0.75960000000000005</v>
      </c>
      <c r="H190">
        <v>1503721520</v>
      </c>
      <c r="I190">
        <v>0</v>
      </c>
    </row>
    <row r="191" spans="1:9" ht="15.75" thickBot="1" x14ac:dyDescent="0.3">
      <c r="A191" s="1">
        <v>45746</v>
      </c>
      <c r="B191">
        <v>0.1394</v>
      </c>
      <c r="C191">
        <v>0.45321287900000001</v>
      </c>
      <c r="D191">
        <v>1.1579847080000001</v>
      </c>
      <c r="E191">
        <v>0.74199999999999999</v>
      </c>
      <c r="H191">
        <v>1502200776</v>
      </c>
      <c r="I191">
        <v>0</v>
      </c>
    </row>
    <row r="192" spans="1:9" ht="15.75" thickBot="1" x14ac:dyDescent="0.3">
      <c r="A192" s="1">
        <v>45747</v>
      </c>
      <c r="B192">
        <v>0.1394</v>
      </c>
      <c r="C192">
        <v>0.45321287900000001</v>
      </c>
      <c r="D192">
        <v>1.1024774930000001</v>
      </c>
      <c r="E192">
        <v>0.74199999999999999</v>
      </c>
      <c r="H192">
        <v>1502200776</v>
      </c>
      <c r="I192">
        <v>0</v>
      </c>
    </row>
    <row r="193" spans="1:9" ht="15.75" thickBot="1" x14ac:dyDescent="0.3">
      <c r="A193" s="1">
        <v>45748</v>
      </c>
      <c r="B193">
        <v>0.1394</v>
      </c>
      <c r="C193">
        <v>0.45321287900000001</v>
      </c>
      <c r="D193">
        <v>1.1024774930000001</v>
      </c>
      <c r="E193">
        <v>0.74199999999999999</v>
      </c>
      <c r="H193">
        <v>1502200776</v>
      </c>
      <c r="I193">
        <v>0</v>
      </c>
    </row>
    <row r="194" spans="1:9" ht="15.75" thickBot="1" x14ac:dyDescent="0.3">
      <c r="A194" s="1">
        <v>45749</v>
      </c>
      <c r="B194">
        <v>0.1394</v>
      </c>
      <c r="C194">
        <v>0.45321287900000001</v>
      </c>
      <c r="D194">
        <v>1.1024774930000001</v>
      </c>
      <c r="E194">
        <v>0.74199999999999999</v>
      </c>
      <c r="H194">
        <v>1502200776</v>
      </c>
      <c r="I194">
        <v>0</v>
      </c>
    </row>
    <row r="195" spans="1:9" ht="15.75" thickBot="1" x14ac:dyDescent="0.3">
      <c r="A195" s="1">
        <v>45750</v>
      </c>
      <c r="B195">
        <v>0.1394</v>
      </c>
      <c r="C195">
        <v>0.45321287900000001</v>
      </c>
      <c r="D195">
        <v>1.1024774930000001</v>
      </c>
      <c r="E195">
        <v>0.76380000000000003</v>
      </c>
      <c r="H195">
        <v>1502200776</v>
      </c>
      <c r="I195">
        <v>0</v>
      </c>
    </row>
    <row r="196" spans="1:9" ht="15.75" thickBot="1" x14ac:dyDescent="0.3">
      <c r="A196" s="1">
        <v>45751</v>
      </c>
      <c r="B196">
        <v>0.1394</v>
      </c>
      <c r="C196">
        <v>0.45321287900000001</v>
      </c>
      <c r="D196">
        <v>1.1024774930000001</v>
      </c>
      <c r="E196">
        <v>0.76380000000000003</v>
      </c>
      <c r="H196">
        <v>1502200776</v>
      </c>
      <c r="I196">
        <v>0</v>
      </c>
    </row>
    <row r="197" spans="1:9" ht="15.75" thickBot="1" x14ac:dyDescent="0.3">
      <c r="A197" s="1">
        <v>45752</v>
      </c>
      <c r="B197">
        <v>0.11269999999999999</v>
      </c>
      <c r="C197">
        <v>0.43950332349999999</v>
      </c>
      <c r="D197">
        <v>1.1024774930000001</v>
      </c>
      <c r="E197">
        <v>0.72689999999999999</v>
      </c>
      <c r="H197">
        <v>1466988420</v>
      </c>
      <c r="I197">
        <v>0</v>
      </c>
    </row>
    <row r="198" spans="1:9" ht="15.75" thickBot="1" x14ac:dyDescent="0.3">
      <c r="A198" s="1">
        <v>45753</v>
      </c>
      <c r="B198">
        <v>0.1201</v>
      </c>
      <c r="C198">
        <v>0.39942923829999999</v>
      </c>
      <c r="D198">
        <v>0.98973306660000004</v>
      </c>
      <c r="E198">
        <v>0.75629999999999997</v>
      </c>
      <c r="H198">
        <v>1476778165</v>
      </c>
      <c r="I198">
        <v>0</v>
      </c>
    </row>
    <row r="199" spans="1:9" ht="15.75" thickBot="1" x14ac:dyDescent="0.3">
      <c r="A199" s="1">
        <v>45754</v>
      </c>
      <c r="B199">
        <v>0.1074</v>
      </c>
      <c r="C199">
        <v>0.39310175120000002</v>
      </c>
      <c r="D199">
        <v>1.026552887</v>
      </c>
      <c r="E199">
        <v>0.77729999999999999</v>
      </c>
      <c r="H199">
        <v>1459956640</v>
      </c>
      <c r="I199">
        <v>0</v>
      </c>
    </row>
    <row r="200" spans="1:9" ht="15.75" thickBot="1" x14ac:dyDescent="0.3">
      <c r="A200" s="1">
        <v>45755</v>
      </c>
      <c r="B200">
        <v>8.9700000000000002E-2</v>
      </c>
      <c r="C200">
        <v>0.43423041759999997</v>
      </c>
      <c r="D200">
        <v>1.0745508859999999</v>
      </c>
      <c r="E200">
        <v>0.67810000000000004</v>
      </c>
      <c r="H200">
        <v>1436689603</v>
      </c>
      <c r="I200">
        <v>0</v>
      </c>
    </row>
    <row r="201" spans="1:9" ht="15.75" thickBot="1" x14ac:dyDescent="0.3">
      <c r="A201" s="1">
        <v>45756</v>
      </c>
      <c r="B201">
        <v>0.1353</v>
      </c>
      <c r="C201">
        <v>0.42473918690000001</v>
      </c>
      <c r="D201">
        <v>0.87119229350000005</v>
      </c>
      <c r="E201">
        <v>0.67810000000000004</v>
      </c>
      <c r="H201">
        <v>1496841369</v>
      </c>
      <c r="I201">
        <v>0</v>
      </c>
    </row>
    <row r="202" spans="1:9" ht="15.75" thickBot="1" x14ac:dyDescent="0.3">
      <c r="A202" s="1">
        <v>45757</v>
      </c>
      <c r="B202">
        <v>0.1918</v>
      </c>
      <c r="C202">
        <v>0.42473918690000001</v>
      </c>
      <c r="D202">
        <v>0.83962070239999997</v>
      </c>
      <c r="E202">
        <v>0.68910000000000005</v>
      </c>
      <c r="H202">
        <v>1571225113</v>
      </c>
      <c r="I202">
        <v>0</v>
      </c>
    </row>
    <row r="203" spans="1:9" ht="15.75" thickBot="1" x14ac:dyDescent="0.3">
      <c r="A203" s="1">
        <v>45758</v>
      </c>
      <c r="B203">
        <v>0.1918</v>
      </c>
      <c r="C203">
        <v>0.42473918690000001</v>
      </c>
      <c r="D203">
        <v>0.83962070239999997</v>
      </c>
      <c r="E203">
        <v>0.68910000000000005</v>
      </c>
      <c r="H203">
        <v>1571225113</v>
      </c>
      <c r="I203">
        <v>0</v>
      </c>
    </row>
    <row r="204" spans="1:9" ht="15.75" thickBot="1" x14ac:dyDescent="0.3">
      <c r="A204" s="1">
        <v>45759</v>
      </c>
      <c r="B204">
        <v>0.2104</v>
      </c>
      <c r="C204">
        <v>0.44266706709999998</v>
      </c>
      <c r="D204">
        <v>0.83962070239999997</v>
      </c>
      <c r="E204">
        <v>0.59079999999999999</v>
      </c>
      <c r="H204">
        <v>1595828802</v>
      </c>
      <c r="I204">
        <v>0</v>
      </c>
    </row>
    <row r="205" spans="1:9" ht="15.75" thickBot="1" x14ac:dyDescent="0.3">
      <c r="A205" s="1">
        <v>45760</v>
      </c>
      <c r="B205">
        <v>0.19589999999999999</v>
      </c>
      <c r="C205">
        <v>0.48590489590000002</v>
      </c>
      <c r="D205">
        <v>0.75043849429999998</v>
      </c>
      <c r="E205">
        <v>0.4279</v>
      </c>
      <c r="H205">
        <v>1576657408</v>
      </c>
      <c r="I205">
        <v>0</v>
      </c>
    </row>
    <row r="206" spans="1:9" ht="15.75" thickBot="1" x14ac:dyDescent="0.3">
      <c r="A206" s="1">
        <v>45761</v>
      </c>
      <c r="B206">
        <v>0.248</v>
      </c>
      <c r="C206">
        <v>0.49539612659999999</v>
      </c>
      <c r="D206">
        <v>0.58447524559999997</v>
      </c>
      <c r="E206">
        <v>0.50339999999999996</v>
      </c>
      <c r="H206">
        <v>1645418929</v>
      </c>
      <c r="I206">
        <v>0</v>
      </c>
    </row>
    <row r="207" spans="1:9" ht="15.75" thickBot="1" x14ac:dyDescent="0.3">
      <c r="A207" s="1">
        <v>45762</v>
      </c>
      <c r="B207">
        <v>0.31059999999999999</v>
      </c>
      <c r="C207">
        <v>0.49855987010000002</v>
      </c>
      <c r="D207">
        <v>0.62018512680000004</v>
      </c>
      <c r="E207">
        <v>0.47910000000000003</v>
      </c>
      <c r="H207">
        <v>1727853207</v>
      </c>
      <c r="I207">
        <v>0</v>
      </c>
    </row>
    <row r="208" spans="1:9" ht="15.75" thickBot="1" x14ac:dyDescent="0.3">
      <c r="A208" s="1">
        <v>45763</v>
      </c>
      <c r="B208">
        <v>0.31180000000000002</v>
      </c>
      <c r="C208">
        <v>0.51543316920000004</v>
      </c>
      <c r="D208">
        <v>0.67067706260000004</v>
      </c>
      <c r="E208">
        <v>0.47820000000000001</v>
      </c>
      <c r="H208">
        <v>1729455369</v>
      </c>
      <c r="I208">
        <v>0</v>
      </c>
    </row>
    <row r="209" spans="1:9" ht="15.75" thickBot="1" x14ac:dyDescent="0.3">
      <c r="A209" s="1">
        <v>45764</v>
      </c>
      <c r="B209">
        <v>0.34970000000000001</v>
      </c>
      <c r="C209">
        <v>0.51543316920000004</v>
      </c>
      <c r="D209">
        <v>0.63492949830000001</v>
      </c>
      <c r="E209">
        <v>0.43290000000000001</v>
      </c>
      <c r="H209">
        <v>1779505438</v>
      </c>
      <c r="I209">
        <v>0</v>
      </c>
    </row>
    <row r="210" spans="1:9" ht="15.75" thickBot="1" x14ac:dyDescent="0.3">
      <c r="A210" s="1">
        <v>45765</v>
      </c>
      <c r="B210">
        <v>0.34970000000000001</v>
      </c>
      <c r="C210">
        <v>0.51543316920000004</v>
      </c>
      <c r="D210">
        <v>0.63492949830000001</v>
      </c>
      <c r="E210">
        <v>0.43290000000000001</v>
      </c>
      <c r="H210">
        <v>1779505438</v>
      </c>
      <c r="I210">
        <v>0</v>
      </c>
    </row>
    <row r="211" spans="1:9" ht="15.75" thickBot="1" x14ac:dyDescent="0.3">
      <c r="A211" s="1">
        <v>45766</v>
      </c>
      <c r="B211">
        <v>0.34470000000000001</v>
      </c>
      <c r="C211">
        <v>0.55234351079999999</v>
      </c>
      <c r="D211">
        <v>0.63492949830000001</v>
      </c>
      <c r="E211">
        <v>0.42620000000000002</v>
      </c>
      <c r="H211">
        <v>1772817363</v>
      </c>
      <c r="I211">
        <v>0</v>
      </c>
    </row>
    <row r="212" spans="1:9" ht="15.75" thickBot="1" x14ac:dyDescent="0.3">
      <c r="A212" s="1">
        <v>45767</v>
      </c>
      <c r="B212">
        <v>0.31719999999999998</v>
      </c>
      <c r="C212">
        <v>0.59874508309999996</v>
      </c>
      <c r="D212">
        <v>0.56547268319999999</v>
      </c>
      <c r="E212">
        <v>0.42620000000000002</v>
      </c>
      <c r="H212">
        <v>1736614432</v>
      </c>
      <c r="I212">
        <v>0</v>
      </c>
    </row>
    <row r="213" spans="1:9" ht="15.75" thickBot="1" x14ac:dyDescent="0.3">
      <c r="A213" s="1">
        <v>45768</v>
      </c>
      <c r="B213">
        <v>0.3211</v>
      </c>
      <c r="C213">
        <v>0.64409207430000004</v>
      </c>
      <c r="D213">
        <v>0.45478027319999997</v>
      </c>
      <c r="E213">
        <v>0.42620000000000002</v>
      </c>
      <c r="H213">
        <v>1741762604</v>
      </c>
      <c r="I213">
        <v>0</v>
      </c>
    </row>
    <row r="214" spans="1:9" ht="15.75" thickBot="1" x14ac:dyDescent="0.3">
      <c r="A214" s="1">
        <v>45769</v>
      </c>
      <c r="B214">
        <v>0.32879999999999998</v>
      </c>
      <c r="C214">
        <v>0.60823631379999998</v>
      </c>
      <c r="D214">
        <v>0.51092810060000005</v>
      </c>
      <c r="E214">
        <v>0.42620000000000002</v>
      </c>
      <c r="H214">
        <v>1751852423</v>
      </c>
      <c r="I214">
        <v>0</v>
      </c>
    </row>
    <row r="215" spans="1:9" ht="15.75" thickBot="1" x14ac:dyDescent="0.3">
      <c r="A215" s="1">
        <v>45770</v>
      </c>
      <c r="B215">
        <v>0.30120000000000002</v>
      </c>
      <c r="C215">
        <v>0.57343513459999995</v>
      </c>
      <c r="D215">
        <v>0.4740020828</v>
      </c>
      <c r="E215">
        <v>0.42620000000000002</v>
      </c>
      <c r="H215">
        <v>1715525620</v>
      </c>
      <c r="I215">
        <v>0</v>
      </c>
    </row>
    <row r="216" spans="1:9" ht="15.75" thickBot="1" x14ac:dyDescent="0.3">
      <c r="A216" s="1">
        <v>45771</v>
      </c>
      <c r="B216">
        <v>0.30120000000000002</v>
      </c>
      <c r="C216">
        <v>0.57343513459999995</v>
      </c>
      <c r="D216">
        <v>0.47686599889999998</v>
      </c>
      <c r="E216">
        <v>0.42620000000000002</v>
      </c>
      <c r="H216">
        <v>1715525620</v>
      </c>
      <c r="I216">
        <v>0</v>
      </c>
    </row>
    <row r="217" spans="1:9" ht="15.75" thickBot="1" x14ac:dyDescent="0.3">
      <c r="A217" s="1">
        <v>45772</v>
      </c>
      <c r="B217">
        <v>0.30120000000000002</v>
      </c>
      <c r="C217">
        <v>0.57343513459999995</v>
      </c>
      <c r="D217">
        <v>0.47686599889999998</v>
      </c>
      <c r="E217">
        <v>0.42620000000000002</v>
      </c>
      <c r="H217">
        <v>1715525620</v>
      </c>
      <c r="I217">
        <v>0</v>
      </c>
    </row>
    <row r="218" spans="1:9" ht="15.75" thickBot="1" x14ac:dyDescent="0.3">
      <c r="A218" s="1">
        <v>45773</v>
      </c>
      <c r="B218">
        <v>0.29260000000000003</v>
      </c>
      <c r="C218">
        <v>0.59769050189999995</v>
      </c>
      <c r="D218">
        <v>0.47686599889999998</v>
      </c>
      <c r="E218">
        <v>0.42620000000000002</v>
      </c>
      <c r="H218">
        <v>1704210584</v>
      </c>
      <c r="I218">
        <v>0</v>
      </c>
    </row>
    <row r="219" spans="1:9" ht="15.75" thickBot="1" x14ac:dyDescent="0.3">
      <c r="A219" s="1">
        <v>45774</v>
      </c>
      <c r="B219">
        <v>0.30220000000000002</v>
      </c>
      <c r="C219">
        <v>0.59769050189999995</v>
      </c>
      <c r="D219">
        <v>0.47686599889999998</v>
      </c>
      <c r="E219">
        <v>0.39429999999999998</v>
      </c>
      <c r="H219">
        <v>1716849816</v>
      </c>
      <c r="I219">
        <v>0</v>
      </c>
    </row>
    <row r="220" spans="1:9" ht="15.75" thickBot="1" x14ac:dyDescent="0.3">
      <c r="A220" s="1">
        <v>45775</v>
      </c>
      <c r="B220">
        <v>0.29799999999999999</v>
      </c>
      <c r="C220">
        <v>0.59769050189999995</v>
      </c>
      <c r="D220">
        <v>0.47686599889999998</v>
      </c>
      <c r="E220">
        <v>0.39429999999999998</v>
      </c>
      <c r="H220">
        <v>1711260140</v>
      </c>
      <c r="I220">
        <v>0</v>
      </c>
    </row>
    <row r="221" spans="1:9" ht="15.75" thickBot="1" x14ac:dyDescent="0.3">
      <c r="A221" s="1">
        <v>45776</v>
      </c>
      <c r="B221">
        <v>0.30819999999999997</v>
      </c>
      <c r="C221">
        <v>0.57765345930000001</v>
      </c>
      <c r="D221">
        <v>0.47686599889999998</v>
      </c>
      <c r="E221">
        <v>0.3604</v>
      </c>
      <c r="H221">
        <v>1724722918</v>
      </c>
      <c r="I221">
        <v>0</v>
      </c>
    </row>
    <row r="222" spans="1:9" ht="15.75" thickBot="1" x14ac:dyDescent="0.3">
      <c r="A222" s="1">
        <v>45777</v>
      </c>
      <c r="B222">
        <v>0.32450000000000001</v>
      </c>
      <c r="C222">
        <v>0.59347217720000001</v>
      </c>
      <c r="D222">
        <v>0.53482261529999997</v>
      </c>
      <c r="E222">
        <v>0.37719999999999998</v>
      </c>
      <c r="H222">
        <v>1746177700</v>
      </c>
      <c r="I222">
        <v>0</v>
      </c>
    </row>
    <row r="223" spans="1:9" ht="15.75" thickBot="1" x14ac:dyDescent="0.3">
      <c r="A223" s="1">
        <v>45778</v>
      </c>
      <c r="B223">
        <v>0.33900000000000002</v>
      </c>
      <c r="C223">
        <v>0.59347217720000001</v>
      </c>
      <c r="D223">
        <v>0.56066294859999999</v>
      </c>
      <c r="E223">
        <v>0.37719999999999998</v>
      </c>
      <c r="H223">
        <v>1765396068</v>
      </c>
      <c r="I223">
        <v>0</v>
      </c>
    </row>
    <row r="224" spans="1:9" ht="15.75" thickBot="1" x14ac:dyDescent="0.3">
      <c r="A224" s="1">
        <v>45779</v>
      </c>
      <c r="B224">
        <v>0.33900000000000002</v>
      </c>
      <c r="C224">
        <v>0.59347217720000001</v>
      </c>
      <c r="D224">
        <v>0.56066294859999999</v>
      </c>
      <c r="E224">
        <v>0.37719999999999998</v>
      </c>
      <c r="H224">
        <v>1765396068</v>
      </c>
      <c r="I224">
        <v>0</v>
      </c>
    </row>
    <row r="225" spans="1:9" ht="15.75" thickBot="1" x14ac:dyDescent="0.3">
      <c r="A225" s="1">
        <v>45780</v>
      </c>
      <c r="B225">
        <v>0.36830000000000002</v>
      </c>
      <c r="C225">
        <v>0.54601602360000001</v>
      </c>
      <c r="D225">
        <v>0.56066294859999999</v>
      </c>
      <c r="E225">
        <v>0.4279</v>
      </c>
      <c r="H225">
        <v>1803916458</v>
      </c>
      <c r="I225">
        <v>0</v>
      </c>
    </row>
    <row r="226" spans="1:9" ht="15.75" thickBot="1" x14ac:dyDescent="0.3">
      <c r="A226" s="1">
        <v>45781</v>
      </c>
      <c r="B226">
        <v>0.35460000000000003</v>
      </c>
      <c r="C226">
        <v>0.51226942559999999</v>
      </c>
      <c r="D226">
        <v>0.66406539050000002</v>
      </c>
      <c r="E226">
        <v>0.4698</v>
      </c>
      <c r="H226">
        <v>1785947483</v>
      </c>
      <c r="I226">
        <v>0</v>
      </c>
    </row>
    <row r="227" spans="1:9" ht="15.75" thickBot="1" x14ac:dyDescent="0.3">
      <c r="A227" s="1">
        <v>45782</v>
      </c>
      <c r="B227">
        <v>0.35120000000000001</v>
      </c>
      <c r="C227">
        <v>0.53230646820000005</v>
      </c>
      <c r="D227">
        <v>0.69630842589999997</v>
      </c>
      <c r="E227">
        <v>0.41949999999999998</v>
      </c>
      <c r="H227">
        <v>1781480622</v>
      </c>
      <c r="I227">
        <v>0</v>
      </c>
    </row>
    <row r="228" spans="1:9" ht="15.75" thickBot="1" x14ac:dyDescent="0.3">
      <c r="A228" s="1">
        <v>45783</v>
      </c>
      <c r="B228">
        <v>0.34799999999999998</v>
      </c>
      <c r="C228">
        <v>0.54707060480000003</v>
      </c>
      <c r="D228">
        <v>0.67059484499999999</v>
      </c>
      <c r="E228">
        <v>0.39429999999999998</v>
      </c>
      <c r="H228">
        <v>1777208617</v>
      </c>
      <c r="I228">
        <v>0</v>
      </c>
    </row>
    <row r="229" spans="1:9" ht="15.75" thickBot="1" x14ac:dyDescent="0.3">
      <c r="A229" s="1">
        <v>45784</v>
      </c>
      <c r="B229">
        <v>0.3528</v>
      </c>
      <c r="C229">
        <v>0.54707060480000003</v>
      </c>
      <c r="D229">
        <v>0.61594063880000005</v>
      </c>
      <c r="E229">
        <v>0.36070000000000002</v>
      </c>
      <c r="H229">
        <v>1783510013</v>
      </c>
      <c r="I229">
        <v>0</v>
      </c>
    </row>
    <row r="230" spans="1:9" ht="15.75" thickBot="1" x14ac:dyDescent="0.3">
      <c r="A230" s="1">
        <v>45785</v>
      </c>
      <c r="B230">
        <v>0.34720000000000001</v>
      </c>
      <c r="C230">
        <v>0.54707060480000003</v>
      </c>
      <c r="D230">
        <v>0.61421064169999995</v>
      </c>
      <c r="E230">
        <v>0.36909999999999998</v>
      </c>
      <c r="H230">
        <v>1776094318</v>
      </c>
      <c r="I230">
        <v>0</v>
      </c>
    </row>
    <row r="231" spans="1:9" ht="15.75" thickBot="1" x14ac:dyDescent="0.3">
      <c r="A231" s="1">
        <v>45786</v>
      </c>
      <c r="B231">
        <v>0.34720000000000001</v>
      </c>
      <c r="C231">
        <v>0.54707060480000003</v>
      </c>
      <c r="D231">
        <v>0.62537854390000003</v>
      </c>
      <c r="E231">
        <v>0.36909999999999998</v>
      </c>
      <c r="H231">
        <v>1776094318</v>
      </c>
      <c r="I231">
        <v>0</v>
      </c>
    </row>
    <row r="232" spans="1:9" ht="15.75" thickBot="1" x14ac:dyDescent="0.3">
      <c r="A232" s="1">
        <v>45787</v>
      </c>
      <c r="B232">
        <v>0.33429999999999999</v>
      </c>
      <c r="C232">
        <v>0.58081720290000005</v>
      </c>
      <c r="D232">
        <v>0.62537854390000003</v>
      </c>
      <c r="E232">
        <v>0.36909999999999998</v>
      </c>
      <c r="H232">
        <v>1759154472</v>
      </c>
      <c r="I232">
        <v>0</v>
      </c>
    </row>
    <row r="233" spans="1:9" ht="15.75" thickBot="1" x14ac:dyDescent="0.3">
      <c r="A233" s="1">
        <v>45788</v>
      </c>
      <c r="B233">
        <v>0.39050000000000001</v>
      </c>
      <c r="C233">
        <v>0.54390686129999999</v>
      </c>
      <c r="D233">
        <v>0.66022513940000005</v>
      </c>
      <c r="E233">
        <v>0.38590000000000002</v>
      </c>
      <c r="H233">
        <v>1833272988</v>
      </c>
      <c r="I233">
        <v>0</v>
      </c>
    </row>
    <row r="234" spans="1:9" ht="15.75" thickBot="1" x14ac:dyDescent="0.3">
      <c r="A234" s="1">
        <v>45789</v>
      </c>
      <c r="B234">
        <v>0.3664</v>
      </c>
      <c r="C234">
        <v>0.53336104939999995</v>
      </c>
      <c r="D234">
        <v>0.67398975019999996</v>
      </c>
      <c r="E234">
        <v>0.38590000000000002</v>
      </c>
      <c r="H234">
        <v>1801436692</v>
      </c>
      <c r="I234">
        <v>0</v>
      </c>
    </row>
    <row r="235" spans="1:9" ht="15.75" thickBot="1" x14ac:dyDescent="0.3">
      <c r="A235" s="1">
        <v>45790</v>
      </c>
      <c r="B235">
        <v>0.36299999999999999</v>
      </c>
      <c r="C235">
        <v>0.57870804050000002</v>
      </c>
      <c r="D235">
        <v>0.61551927319999999</v>
      </c>
      <c r="E235">
        <v>0.3775</v>
      </c>
      <c r="H235">
        <v>1796977445</v>
      </c>
      <c r="I235">
        <v>0</v>
      </c>
    </row>
    <row r="236" spans="1:9" ht="15.75" thickBot="1" x14ac:dyDescent="0.3">
      <c r="A236" s="1">
        <v>45791</v>
      </c>
      <c r="B236">
        <v>0.36280000000000001</v>
      </c>
      <c r="C236">
        <v>0.59241759599999999</v>
      </c>
      <c r="D236">
        <v>0.62890020140000003</v>
      </c>
      <c r="E236">
        <v>0.36909999999999998</v>
      </c>
      <c r="H236">
        <v>1796716130</v>
      </c>
      <c r="I236">
        <v>0</v>
      </c>
    </row>
    <row r="237" spans="1:9" ht="15.75" thickBot="1" x14ac:dyDescent="0.3">
      <c r="A237" s="1">
        <v>45792</v>
      </c>
      <c r="B237">
        <v>0.38400000000000001</v>
      </c>
      <c r="C237">
        <v>0.61034547620000001</v>
      </c>
      <c r="D237">
        <v>0.61179207150000003</v>
      </c>
      <c r="E237">
        <v>0.36070000000000002</v>
      </c>
      <c r="H237">
        <v>1824622376</v>
      </c>
      <c r="I237">
        <v>0</v>
      </c>
    </row>
    <row r="238" spans="1:9" ht="15.75" thickBot="1" x14ac:dyDescent="0.3">
      <c r="A238" s="1">
        <v>45793</v>
      </c>
      <c r="B238">
        <v>0.38400000000000001</v>
      </c>
      <c r="C238">
        <v>0.61034547620000001</v>
      </c>
      <c r="D238">
        <v>0.61179207150000003</v>
      </c>
      <c r="E238">
        <v>0.36070000000000002</v>
      </c>
      <c r="H238">
        <v>1824622376</v>
      </c>
      <c r="I238">
        <v>0</v>
      </c>
    </row>
    <row r="239" spans="1:9" ht="15.75" thickBot="1" x14ac:dyDescent="0.3">
      <c r="A239" s="1">
        <v>45794</v>
      </c>
      <c r="B239">
        <v>0.38719999999999999</v>
      </c>
      <c r="C239">
        <v>0.61245463860000005</v>
      </c>
      <c r="D239">
        <v>0.61179207150000003</v>
      </c>
      <c r="E239">
        <v>0.36070000000000002</v>
      </c>
      <c r="H239">
        <v>1828887455</v>
      </c>
      <c r="I239">
        <v>0</v>
      </c>
    </row>
    <row r="240" spans="1:9" ht="15.75" thickBot="1" x14ac:dyDescent="0.3">
      <c r="A240" s="1">
        <v>45795</v>
      </c>
      <c r="B240">
        <v>0.40129999999999999</v>
      </c>
      <c r="C240">
        <v>0.61983670690000003</v>
      </c>
      <c r="D240">
        <v>0.57316346250000005</v>
      </c>
      <c r="E240">
        <v>0.36070000000000002</v>
      </c>
      <c r="H240">
        <v>1847524586</v>
      </c>
      <c r="I240">
        <v>0</v>
      </c>
    </row>
    <row r="241" spans="1:9" ht="15.75" thickBot="1" x14ac:dyDescent="0.3">
      <c r="A241" s="1">
        <v>45796</v>
      </c>
      <c r="B241">
        <v>0.39539999999999997</v>
      </c>
      <c r="C241">
        <v>0.61034547620000001</v>
      </c>
      <c r="D241">
        <v>0.53446976440000005</v>
      </c>
      <c r="E241">
        <v>0.3775</v>
      </c>
      <c r="H241">
        <v>1839716161</v>
      </c>
      <c r="I241">
        <v>0</v>
      </c>
    </row>
    <row r="242" spans="1:9" ht="15.75" thickBot="1" x14ac:dyDescent="0.3">
      <c r="A242" s="1">
        <v>45797</v>
      </c>
      <c r="B242">
        <v>0.41460000000000002</v>
      </c>
      <c r="C242">
        <v>0.57659887809999999</v>
      </c>
      <c r="D242">
        <v>0.55709675650000001</v>
      </c>
      <c r="E242">
        <v>0.38590000000000002</v>
      </c>
      <c r="H242">
        <v>1865035392</v>
      </c>
      <c r="I242">
        <v>0</v>
      </c>
    </row>
    <row r="243" spans="1:9" ht="15.75" thickBot="1" x14ac:dyDescent="0.3">
      <c r="A243" s="1">
        <v>45798</v>
      </c>
      <c r="B243">
        <v>0.39029999999999998</v>
      </c>
      <c r="C243">
        <v>0.54179769889999996</v>
      </c>
      <c r="D243">
        <v>0.64082861719999995</v>
      </c>
      <c r="E243">
        <v>0.3775</v>
      </c>
      <c r="H243">
        <v>1833021685</v>
      </c>
      <c r="I243">
        <v>0</v>
      </c>
    </row>
    <row r="244" spans="1:9" ht="15.75" thickBot="1" x14ac:dyDescent="0.3">
      <c r="A244" s="1">
        <v>45799</v>
      </c>
      <c r="B244">
        <v>0.39660000000000001</v>
      </c>
      <c r="C244">
        <v>0.5607801603</v>
      </c>
      <c r="D244">
        <v>0.63823533440000002</v>
      </c>
      <c r="E244">
        <v>0.36909999999999998</v>
      </c>
      <c r="H244">
        <v>1841258249</v>
      </c>
      <c r="I244">
        <v>0</v>
      </c>
    </row>
    <row r="245" spans="1:9" ht="15.75" thickBot="1" x14ac:dyDescent="0.3">
      <c r="A245" s="1">
        <v>45800</v>
      </c>
      <c r="B245">
        <v>0.39660000000000001</v>
      </c>
      <c r="C245">
        <v>0.5607801603</v>
      </c>
      <c r="D245">
        <v>0.62128821410000001</v>
      </c>
      <c r="E245">
        <v>0.3775</v>
      </c>
      <c r="H245">
        <v>1841258249</v>
      </c>
      <c r="I245">
        <v>0</v>
      </c>
    </row>
    <row r="246" spans="1:9" ht="15.75" thickBot="1" x14ac:dyDescent="0.3">
      <c r="A246" s="1">
        <v>45801</v>
      </c>
      <c r="B246">
        <v>0.3871</v>
      </c>
      <c r="C246">
        <v>0.53336104939999995</v>
      </c>
      <c r="D246">
        <v>0.62128821410000001</v>
      </c>
      <c r="E246">
        <v>0.3775</v>
      </c>
      <c r="H246">
        <v>1828802414</v>
      </c>
      <c r="I246">
        <v>0</v>
      </c>
    </row>
    <row r="247" spans="1:9" ht="15.75" thickBot="1" x14ac:dyDescent="0.3">
      <c r="A247" s="1">
        <v>45802</v>
      </c>
      <c r="B247">
        <v>0.37740000000000001</v>
      </c>
      <c r="C247">
        <v>0.53441563059999997</v>
      </c>
      <c r="D247">
        <v>0.61380297900000003</v>
      </c>
      <c r="E247">
        <v>0.3775</v>
      </c>
      <c r="H247">
        <v>1815945651</v>
      </c>
      <c r="I247">
        <v>0</v>
      </c>
    </row>
    <row r="248" spans="1:9" ht="15.75" thickBot="1" x14ac:dyDescent="0.3">
      <c r="A248" s="1">
        <v>45803</v>
      </c>
      <c r="B248">
        <v>0.37240000000000001</v>
      </c>
      <c r="C248">
        <v>0.55972557909999998</v>
      </c>
      <c r="D248">
        <v>0.5914192143</v>
      </c>
      <c r="E248">
        <v>0.39429999999999998</v>
      </c>
      <c r="H248">
        <v>1809349828</v>
      </c>
      <c r="I248">
        <v>0</v>
      </c>
    </row>
    <row r="249" spans="1:9" ht="15.75" thickBot="1" x14ac:dyDescent="0.3">
      <c r="A249" s="1">
        <v>45804</v>
      </c>
      <c r="B249">
        <v>0.38200000000000001</v>
      </c>
      <c r="C249">
        <v>0.55023434839999996</v>
      </c>
      <c r="D249">
        <v>0.59704427419999995</v>
      </c>
      <c r="E249">
        <v>0.3775</v>
      </c>
      <c r="H249">
        <v>1822030668</v>
      </c>
      <c r="I249">
        <v>0</v>
      </c>
    </row>
    <row r="250" spans="1:9" ht="15.75" thickBot="1" x14ac:dyDescent="0.3">
      <c r="A250" s="1">
        <v>45805</v>
      </c>
      <c r="B250">
        <v>0.38479999999999998</v>
      </c>
      <c r="C250">
        <v>0.55023434839999996</v>
      </c>
      <c r="D250">
        <v>0.60201159270000004</v>
      </c>
      <c r="E250">
        <v>0.36909999999999998</v>
      </c>
      <c r="H250">
        <v>1825716574</v>
      </c>
      <c r="I250">
        <v>0</v>
      </c>
    </row>
    <row r="251" spans="1:9" ht="15.75" thickBot="1" x14ac:dyDescent="0.3">
      <c r="A251" s="1">
        <v>45806</v>
      </c>
      <c r="B251">
        <v>0.38390000000000002</v>
      </c>
      <c r="C251">
        <v>0.55023434839999996</v>
      </c>
      <c r="D251">
        <v>0.60201159270000004</v>
      </c>
      <c r="E251">
        <v>0.36909999999999998</v>
      </c>
      <c r="H251">
        <v>1824529262</v>
      </c>
      <c r="I251">
        <v>0</v>
      </c>
    </row>
    <row r="252" spans="1:9" ht="15.75" thickBot="1" x14ac:dyDescent="0.3">
      <c r="A252" s="1">
        <v>45807</v>
      </c>
      <c r="B252">
        <v>0.38390000000000002</v>
      </c>
      <c r="C252">
        <v>0.55972557909999998</v>
      </c>
      <c r="D252">
        <v>0.60201159270000004</v>
      </c>
      <c r="E252">
        <v>0.3775</v>
      </c>
      <c r="H252">
        <v>1824529262</v>
      </c>
      <c r="I252">
        <v>0</v>
      </c>
    </row>
    <row r="253" spans="1:9" ht="15.75" thickBot="1" x14ac:dyDescent="0.3">
      <c r="A253" s="1">
        <v>45808</v>
      </c>
      <c r="B253">
        <v>0.40789999999999998</v>
      </c>
      <c r="C253">
        <v>0.55972557909999998</v>
      </c>
      <c r="D253">
        <v>0.60201159270000004</v>
      </c>
      <c r="E253">
        <v>0.3775</v>
      </c>
      <c r="H253">
        <v>1856220052</v>
      </c>
      <c r="I253">
        <v>0</v>
      </c>
    </row>
    <row r="254" spans="1:9" ht="15.75" thickBot="1" x14ac:dyDescent="0.3">
      <c r="A254" s="1">
        <v>45809</v>
      </c>
      <c r="B254">
        <v>0.39960000000000001</v>
      </c>
      <c r="C254">
        <v>0.55023434839999996</v>
      </c>
      <c r="D254">
        <v>0.60201159270000004</v>
      </c>
      <c r="E254">
        <v>0.38590000000000002</v>
      </c>
      <c r="H254">
        <v>1845181427</v>
      </c>
      <c r="I254">
        <v>0</v>
      </c>
    </row>
    <row r="255" spans="1:9" ht="15.75" thickBot="1" x14ac:dyDescent="0.3">
      <c r="A255" s="1">
        <v>45810</v>
      </c>
      <c r="B255">
        <v>0.37390000000000001</v>
      </c>
      <c r="C255">
        <v>0.55128892959999998</v>
      </c>
      <c r="D255">
        <v>0.58414294909999998</v>
      </c>
      <c r="E255">
        <v>0.38590000000000002</v>
      </c>
      <c r="H255">
        <v>1811299237</v>
      </c>
      <c r="I255">
        <v>0</v>
      </c>
    </row>
    <row r="256" spans="1:9" ht="15.75" thickBot="1" x14ac:dyDescent="0.3">
      <c r="A256" s="1">
        <v>45811</v>
      </c>
      <c r="B256">
        <v>0.38300000000000001</v>
      </c>
      <c r="C256">
        <v>0.53441563059999997</v>
      </c>
      <c r="D256">
        <v>0.60508790440000004</v>
      </c>
      <c r="E256">
        <v>0.39429999999999998</v>
      </c>
      <c r="H256">
        <v>1823378466</v>
      </c>
      <c r="I256">
        <v>0</v>
      </c>
    </row>
    <row r="257" spans="1:9" ht="15.75" thickBot="1" x14ac:dyDescent="0.3">
      <c r="A257" s="1">
        <v>45812</v>
      </c>
      <c r="B257">
        <v>0.38300000000000001</v>
      </c>
      <c r="C257">
        <v>0.54812518600000004</v>
      </c>
      <c r="D257">
        <v>0.626536443</v>
      </c>
      <c r="E257">
        <v>0.39429999999999998</v>
      </c>
      <c r="H257">
        <v>1823378466</v>
      </c>
      <c r="I257">
        <v>0</v>
      </c>
    </row>
    <row r="258" spans="1:9" ht="15.75" thickBot="1" x14ac:dyDescent="0.3">
      <c r="A258" s="1">
        <v>45813</v>
      </c>
      <c r="B258">
        <v>0.38300000000000001</v>
      </c>
      <c r="C258">
        <v>0.53968853650000004</v>
      </c>
      <c r="D258">
        <v>0.626536443</v>
      </c>
      <c r="E258">
        <v>0.39429999999999998</v>
      </c>
      <c r="H258">
        <v>1823378466</v>
      </c>
      <c r="I258">
        <v>0</v>
      </c>
    </row>
    <row r="259" spans="1:9" ht="15.75" thickBot="1" x14ac:dyDescent="0.3">
      <c r="A259" s="1">
        <v>45814</v>
      </c>
      <c r="B259">
        <v>0.38300000000000001</v>
      </c>
      <c r="C259">
        <v>0.53968853650000004</v>
      </c>
      <c r="D259">
        <v>0.626536443</v>
      </c>
      <c r="E259">
        <v>0.38590000000000002</v>
      </c>
      <c r="H259">
        <v>1823378466</v>
      </c>
      <c r="I259">
        <v>0</v>
      </c>
    </row>
    <row r="260" spans="1:9" ht="15.75" thickBot="1" x14ac:dyDescent="0.3">
      <c r="A260" s="1">
        <v>45815</v>
      </c>
      <c r="B260">
        <v>0.40539999999999998</v>
      </c>
      <c r="C260">
        <v>0.49855987010000002</v>
      </c>
      <c r="D260">
        <v>0.626536443</v>
      </c>
      <c r="E260">
        <v>0.38590000000000002</v>
      </c>
      <c r="H260">
        <v>1852942311</v>
      </c>
      <c r="I260">
        <v>0</v>
      </c>
    </row>
    <row r="261" spans="1:9" ht="15.75" thickBot="1" x14ac:dyDescent="0.3">
      <c r="A261" s="1">
        <v>45816</v>
      </c>
      <c r="B261">
        <v>0.40429999999999999</v>
      </c>
      <c r="C261">
        <v>0.49750528890000001</v>
      </c>
      <c r="D261">
        <v>0.63205530509999996</v>
      </c>
      <c r="E261">
        <v>0.3775</v>
      </c>
      <c r="H261">
        <v>1851419537</v>
      </c>
      <c r="I261">
        <v>0</v>
      </c>
    </row>
    <row r="262" spans="1:9" ht="15.75" thickBot="1" x14ac:dyDescent="0.3">
      <c r="A262" s="1">
        <v>45817</v>
      </c>
      <c r="B262">
        <v>0.4143</v>
      </c>
      <c r="C262">
        <v>0.48590489590000002</v>
      </c>
      <c r="D262">
        <v>0.6300032887</v>
      </c>
      <c r="E262">
        <v>0.38579999999999998</v>
      </c>
      <c r="H262">
        <v>1864624179</v>
      </c>
      <c r="I262">
        <v>0</v>
      </c>
    </row>
    <row r="263" spans="1:9" ht="15.75" thickBot="1" x14ac:dyDescent="0.3">
      <c r="A263" s="1">
        <v>45818</v>
      </c>
      <c r="B263">
        <v>0.40589999999999998</v>
      </c>
      <c r="C263">
        <v>0.48590489590000002</v>
      </c>
      <c r="D263">
        <v>0.65282554780000002</v>
      </c>
      <c r="E263">
        <v>0.37590000000000001</v>
      </c>
      <c r="H263">
        <v>1853564222</v>
      </c>
      <c r="I263">
        <v>0</v>
      </c>
    </row>
    <row r="264" spans="1:9" ht="15.75" thickBot="1" x14ac:dyDescent="0.3">
      <c r="A264" s="1">
        <v>45819</v>
      </c>
      <c r="B264">
        <v>0.4078</v>
      </c>
      <c r="C264">
        <v>0.47957740869999999</v>
      </c>
      <c r="D264">
        <v>0.618372912</v>
      </c>
      <c r="E264">
        <v>0.38990000000000002</v>
      </c>
      <c r="H264">
        <v>1856097355</v>
      </c>
      <c r="I264">
        <v>0</v>
      </c>
    </row>
    <row r="265" spans="1:9" ht="15.75" thickBot="1" x14ac:dyDescent="0.3">
      <c r="A265" s="1">
        <v>45820</v>
      </c>
      <c r="B265">
        <v>0.40939999999999999</v>
      </c>
      <c r="C265">
        <v>0.47957740869999999</v>
      </c>
      <c r="D265">
        <v>0.63567630900000005</v>
      </c>
      <c r="E265">
        <v>0.4032</v>
      </c>
      <c r="H265">
        <v>1858104229</v>
      </c>
      <c r="I265">
        <v>0</v>
      </c>
    </row>
    <row r="266" spans="1:9" ht="15.75" thickBot="1" x14ac:dyDescent="0.3">
      <c r="A266" s="1">
        <v>45821</v>
      </c>
      <c r="B266">
        <v>0.40939999999999999</v>
      </c>
      <c r="C266">
        <v>0.47957740869999999</v>
      </c>
      <c r="D266">
        <v>0.63567630900000005</v>
      </c>
      <c r="E266">
        <v>0.4032</v>
      </c>
      <c r="H266">
        <v>1858104229</v>
      </c>
      <c r="I266">
        <v>0</v>
      </c>
    </row>
    <row r="267" spans="1:9" ht="15.75" thickBot="1" x14ac:dyDescent="0.3">
      <c r="A267" s="1">
        <v>45822</v>
      </c>
      <c r="B267">
        <v>0.40939999999999999</v>
      </c>
      <c r="C267">
        <v>0.47957740869999999</v>
      </c>
      <c r="D267">
        <v>0.63567630900000005</v>
      </c>
      <c r="E267">
        <v>0.4032</v>
      </c>
      <c r="H267">
        <v>1858104229</v>
      </c>
      <c r="I267">
        <v>0</v>
      </c>
    </row>
    <row r="268" spans="1:9" ht="15.75" thickBot="1" x14ac:dyDescent="0.3">
      <c r="A268" s="1">
        <v>45823</v>
      </c>
      <c r="B268">
        <v>0.40939999999999999</v>
      </c>
      <c r="C268">
        <v>0.47957740869999999</v>
      </c>
      <c r="D268">
        <v>0.63567630900000005</v>
      </c>
      <c r="E268">
        <v>0.4032</v>
      </c>
      <c r="H268">
        <v>1858104229</v>
      </c>
      <c r="I268">
        <v>0</v>
      </c>
    </row>
    <row r="269" spans="1:9" ht="15.75" thickBot="1" x14ac:dyDescent="0.3">
      <c r="A269" s="1">
        <v>45824</v>
      </c>
      <c r="B269">
        <v>0.40939999999999999</v>
      </c>
      <c r="C269">
        <v>0.47957740869999999</v>
      </c>
      <c r="D269">
        <v>0.63567630900000005</v>
      </c>
      <c r="E269">
        <v>0.4032</v>
      </c>
      <c r="H269">
        <v>1858104229</v>
      </c>
      <c r="I269">
        <v>0</v>
      </c>
    </row>
    <row r="270" spans="1:9" ht="15.75" thickBot="1" x14ac:dyDescent="0.3">
      <c r="A270" s="1">
        <v>45825</v>
      </c>
      <c r="B270">
        <v>0.40939999999999999</v>
      </c>
      <c r="C270">
        <v>0.47957740869999999</v>
      </c>
      <c r="D270">
        <v>0.63567630900000005</v>
      </c>
      <c r="E270">
        <v>0.4032</v>
      </c>
      <c r="H270">
        <v>1858104229</v>
      </c>
      <c r="I270">
        <v>0</v>
      </c>
    </row>
    <row r="271" spans="1:9" ht="15.75" thickBot="1" x14ac:dyDescent="0.3">
      <c r="A271" s="1">
        <v>45826</v>
      </c>
      <c r="B271">
        <v>0.40939999999999999</v>
      </c>
      <c r="C271">
        <v>0.47957740869999999</v>
      </c>
      <c r="D271">
        <v>0.63567630900000005</v>
      </c>
      <c r="E271">
        <v>0.4032</v>
      </c>
      <c r="H271">
        <v>1858104229</v>
      </c>
      <c r="I271">
        <v>0</v>
      </c>
    </row>
    <row r="272" spans="1:9" ht="15.75" thickBot="1" x14ac:dyDescent="0.3">
      <c r="A272" s="1">
        <v>45827</v>
      </c>
      <c r="B272">
        <v>0.40939999999999999</v>
      </c>
      <c r="C272">
        <v>0.47957740869999999</v>
      </c>
      <c r="D272">
        <v>0.63567630900000005</v>
      </c>
      <c r="E272">
        <v>0.4032</v>
      </c>
      <c r="H272">
        <v>1858104229</v>
      </c>
      <c r="I272">
        <v>0</v>
      </c>
    </row>
    <row r="273" spans="1:9" ht="15.75" thickBot="1" x14ac:dyDescent="0.3">
      <c r="A273" s="1">
        <v>45828</v>
      </c>
      <c r="B273">
        <v>0.40939999999999999</v>
      </c>
      <c r="C273">
        <v>0.47957740869999999</v>
      </c>
      <c r="D273">
        <v>0.63567630900000005</v>
      </c>
      <c r="E273">
        <v>0.4032</v>
      </c>
      <c r="H273">
        <v>1858104229</v>
      </c>
      <c r="I273">
        <v>0</v>
      </c>
    </row>
    <row r="274" spans="1:9" ht="15.75" thickBot="1" x14ac:dyDescent="0.3">
      <c r="A274" s="1">
        <v>45829</v>
      </c>
      <c r="B274">
        <v>0.40939999999999999</v>
      </c>
      <c r="C274">
        <v>0.47957740869999999</v>
      </c>
      <c r="D274">
        <v>0.63567630900000005</v>
      </c>
      <c r="E274">
        <v>0.4032</v>
      </c>
      <c r="H274">
        <v>1858104229</v>
      </c>
      <c r="I274">
        <v>0</v>
      </c>
    </row>
    <row r="275" spans="1:9" ht="15.75" thickBot="1" x14ac:dyDescent="0.3">
      <c r="A275" s="1">
        <v>45830</v>
      </c>
      <c r="B275">
        <v>0.40939999999999999</v>
      </c>
      <c r="C275">
        <v>0.47957740869999999</v>
      </c>
      <c r="D275">
        <v>0.63567630900000005</v>
      </c>
      <c r="E275">
        <v>0.4032</v>
      </c>
      <c r="H275">
        <v>1858104229</v>
      </c>
      <c r="I275">
        <v>0</v>
      </c>
    </row>
    <row r="276" spans="1:9" ht="15.75" thickBot="1" x14ac:dyDescent="0.3">
      <c r="A276" s="1">
        <v>45831</v>
      </c>
      <c r="B276">
        <v>0.40939999999999999</v>
      </c>
      <c r="C276">
        <v>0.47957740869999999</v>
      </c>
      <c r="D276">
        <v>0.63567630900000005</v>
      </c>
      <c r="E276">
        <v>0.4032</v>
      </c>
      <c r="H276">
        <v>1858104229</v>
      </c>
      <c r="I276">
        <v>0</v>
      </c>
    </row>
    <row r="277" spans="1:9" ht="15.75" thickBot="1" x14ac:dyDescent="0.3">
      <c r="A277" s="1">
        <v>45832</v>
      </c>
      <c r="B277">
        <v>0.40939999999999999</v>
      </c>
      <c r="C277">
        <v>0.47957740869999999</v>
      </c>
      <c r="D277">
        <v>0.63567630900000005</v>
      </c>
      <c r="E277">
        <v>0.4032</v>
      </c>
      <c r="H277">
        <v>1858104229</v>
      </c>
      <c r="I277">
        <v>0</v>
      </c>
    </row>
    <row r="278" spans="1:9" ht="15.75" thickBot="1" x14ac:dyDescent="0.3">
      <c r="A278" s="1">
        <v>45833</v>
      </c>
      <c r="B278">
        <v>0.40939999999999999</v>
      </c>
      <c r="C278">
        <v>0.47957740869999999</v>
      </c>
      <c r="D278">
        <v>0.63567630900000005</v>
      </c>
      <c r="E278">
        <v>0.3921</v>
      </c>
      <c r="H278">
        <v>1858104229</v>
      </c>
      <c r="I278">
        <v>0</v>
      </c>
    </row>
    <row r="279" spans="1:9" ht="15.75" thickBot="1" x14ac:dyDescent="0.3">
      <c r="A279" s="1">
        <v>45834</v>
      </c>
      <c r="B279">
        <v>0.40939999999999999</v>
      </c>
      <c r="C279">
        <v>0.47957740869999999</v>
      </c>
      <c r="D279">
        <v>0.63567630900000005</v>
      </c>
      <c r="E279">
        <v>0.40570000000000001</v>
      </c>
      <c r="H279">
        <v>1858104229</v>
      </c>
      <c r="I279">
        <v>0</v>
      </c>
    </row>
    <row r="280" spans="1:9" ht="15.75" thickBot="1" x14ac:dyDescent="0.3">
      <c r="A280" s="1">
        <v>45835</v>
      </c>
      <c r="B280">
        <v>0.40939999999999999</v>
      </c>
      <c r="C280">
        <v>0.47957740869999999</v>
      </c>
      <c r="D280">
        <v>0.63567630900000005</v>
      </c>
      <c r="E280">
        <v>0.40570000000000001</v>
      </c>
      <c r="H280">
        <v>1858104229</v>
      </c>
      <c r="I280">
        <v>0</v>
      </c>
    </row>
    <row r="281" spans="1:9" ht="15.75" thickBot="1" x14ac:dyDescent="0.3">
      <c r="A281" s="1">
        <v>45836</v>
      </c>
      <c r="B281">
        <v>0.31969999999999998</v>
      </c>
      <c r="C281">
        <v>0.43528499879999999</v>
      </c>
      <c r="D281">
        <v>0.63567630900000005</v>
      </c>
      <c r="E281">
        <v>0.42059999999999997</v>
      </c>
      <c r="H281">
        <v>1739963442</v>
      </c>
      <c r="I281">
        <v>0</v>
      </c>
    </row>
    <row r="282" spans="1:9" ht="15.75" thickBot="1" x14ac:dyDescent="0.3">
      <c r="A282" s="1">
        <v>45837</v>
      </c>
      <c r="B282">
        <v>0.35639999999999999</v>
      </c>
      <c r="C282">
        <v>0.39310175120000002</v>
      </c>
      <c r="D282">
        <v>0.66726160300000004</v>
      </c>
      <c r="E282">
        <v>0.4803</v>
      </c>
      <c r="H282">
        <v>1788261261</v>
      </c>
      <c r="I282">
        <v>0</v>
      </c>
    </row>
    <row r="283" spans="1:9" ht="15.75" thickBot="1" x14ac:dyDescent="0.3">
      <c r="A283" s="1">
        <v>45838</v>
      </c>
      <c r="B283">
        <v>0.39079999999999998</v>
      </c>
      <c r="C283">
        <v>0.3519730848</v>
      </c>
      <c r="D283">
        <v>0.74723885609999996</v>
      </c>
      <c r="E283">
        <v>0.52349999999999997</v>
      </c>
      <c r="H283">
        <v>1833679579</v>
      </c>
      <c r="I283">
        <v>0</v>
      </c>
    </row>
    <row r="284" spans="1:9" ht="15.75" thickBot="1" x14ac:dyDescent="0.3">
      <c r="A284" s="1">
        <v>45839</v>
      </c>
      <c r="B284">
        <v>0.34079999999999999</v>
      </c>
      <c r="C284">
        <v>0.3118989996</v>
      </c>
      <c r="D284">
        <v>0.86847225839999997</v>
      </c>
      <c r="E284">
        <v>0.54069999999999996</v>
      </c>
      <c r="H284">
        <v>1767707689</v>
      </c>
      <c r="I284">
        <v>0</v>
      </c>
    </row>
    <row r="285" spans="1:9" ht="15.75" thickBot="1" x14ac:dyDescent="0.3">
      <c r="A285" s="1">
        <v>45840</v>
      </c>
      <c r="B285">
        <v>0.3448</v>
      </c>
      <c r="C285">
        <v>0.27287949560000002</v>
      </c>
      <c r="D285">
        <v>0.89067788479999999</v>
      </c>
      <c r="E285">
        <v>0.53520000000000001</v>
      </c>
      <c r="H285">
        <v>1773044779</v>
      </c>
      <c r="I285">
        <v>0</v>
      </c>
    </row>
    <row r="286" spans="1:9" ht="15.75" thickBot="1" x14ac:dyDescent="0.3">
      <c r="A286" s="1">
        <v>45841</v>
      </c>
      <c r="B286">
        <v>0.3448</v>
      </c>
      <c r="C286">
        <v>0.2433512223</v>
      </c>
      <c r="D286">
        <v>0.82931608590000006</v>
      </c>
      <c r="E286">
        <v>0.53869999999999996</v>
      </c>
      <c r="H286">
        <v>1773044779</v>
      </c>
      <c r="I286">
        <v>0</v>
      </c>
    </row>
    <row r="287" spans="1:9" ht="15.75" thickBot="1" x14ac:dyDescent="0.3">
      <c r="A287" s="1">
        <v>45842</v>
      </c>
      <c r="B287">
        <v>0.3448</v>
      </c>
      <c r="C287">
        <v>0.20855004299999999</v>
      </c>
      <c r="D287">
        <v>0.82931608590000006</v>
      </c>
      <c r="E287">
        <v>0.53869999999999996</v>
      </c>
      <c r="H287">
        <v>1773044779</v>
      </c>
      <c r="I287">
        <v>0</v>
      </c>
    </row>
    <row r="288" spans="1:9" ht="15.75" thickBot="1" x14ac:dyDescent="0.3">
      <c r="A288" s="1">
        <v>45843</v>
      </c>
      <c r="B288">
        <v>0.3448</v>
      </c>
      <c r="C288">
        <v>0.20855004299999999</v>
      </c>
      <c r="D288">
        <v>0.82931608590000006</v>
      </c>
      <c r="E288">
        <v>0.53869999999999996</v>
      </c>
      <c r="H288">
        <v>1773044779</v>
      </c>
      <c r="I288">
        <v>0</v>
      </c>
    </row>
    <row r="289" spans="1:9" ht="15.75" thickBot="1" x14ac:dyDescent="0.3">
      <c r="A289" s="1">
        <v>45844</v>
      </c>
      <c r="B289">
        <v>0.3448</v>
      </c>
      <c r="C289">
        <v>0.20855004299999999</v>
      </c>
      <c r="D289">
        <v>0.82931608590000006</v>
      </c>
      <c r="E289">
        <v>0.53869999999999996</v>
      </c>
      <c r="H289">
        <v>1773044779</v>
      </c>
      <c r="I289">
        <v>0</v>
      </c>
    </row>
    <row r="290" spans="1:9" ht="15.75" thickBot="1" x14ac:dyDescent="0.3">
      <c r="A290" s="1">
        <v>45845</v>
      </c>
      <c r="B290">
        <v>0.3639</v>
      </c>
      <c r="C290">
        <v>0.20855004299999999</v>
      </c>
      <c r="D290">
        <v>0.82931608590000006</v>
      </c>
      <c r="E290">
        <v>0.48449999999999999</v>
      </c>
      <c r="H290">
        <v>1798186430</v>
      </c>
      <c r="I290">
        <v>0</v>
      </c>
    </row>
    <row r="291" spans="1:9" ht="15.75" thickBot="1" x14ac:dyDescent="0.3">
      <c r="A291" s="1">
        <v>45846</v>
      </c>
      <c r="B291">
        <v>0.36499999999999999</v>
      </c>
      <c r="C291">
        <v>0.20855004299999999</v>
      </c>
      <c r="D291">
        <v>0.78111596800000005</v>
      </c>
      <c r="E291">
        <v>0.46210000000000001</v>
      </c>
      <c r="H291">
        <v>1799655295</v>
      </c>
      <c r="I291">
        <v>0</v>
      </c>
    </row>
    <row r="292" spans="1:9" ht="15.75" thickBot="1" x14ac:dyDescent="0.3">
      <c r="A292" s="1">
        <v>45847</v>
      </c>
      <c r="B292">
        <v>0.36499999999999999</v>
      </c>
      <c r="C292">
        <v>0.17374886379999999</v>
      </c>
      <c r="D292">
        <v>0.75410060700000003</v>
      </c>
      <c r="E292">
        <v>0.47539999999999999</v>
      </c>
      <c r="H292">
        <v>1799655295</v>
      </c>
      <c r="I292">
        <v>0</v>
      </c>
    </row>
    <row r="293" spans="1:9" ht="15.75" thickBot="1" x14ac:dyDescent="0.3">
      <c r="A293" s="1">
        <v>45848</v>
      </c>
      <c r="B293">
        <v>0.36499999999999999</v>
      </c>
      <c r="C293">
        <v>0.17374886379999999</v>
      </c>
      <c r="D293">
        <v>0.76831741509999996</v>
      </c>
      <c r="E293">
        <v>0.48299999999999998</v>
      </c>
      <c r="H293">
        <v>1799655295</v>
      </c>
      <c r="I293">
        <v>0</v>
      </c>
    </row>
    <row r="294" spans="1:9" ht="15.75" thickBot="1" x14ac:dyDescent="0.3">
      <c r="A294" s="1">
        <v>45849</v>
      </c>
      <c r="B294">
        <v>0.37530000000000002</v>
      </c>
      <c r="C294">
        <v>0.17374886379999999</v>
      </c>
      <c r="D294">
        <v>0.76831741509999996</v>
      </c>
      <c r="E294">
        <v>0.48299999999999998</v>
      </c>
      <c r="H294">
        <v>1813198173</v>
      </c>
      <c r="I294">
        <v>0</v>
      </c>
    </row>
    <row r="295" spans="1:9" ht="15.75" thickBot="1" x14ac:dyDescent="0.3">
      <c r="A295" s="1">
        <v>45850</v>
      </c>
      <c r="B295">
        <v>0.39550000000000002</v>
      </c>
      <c r="C295">
        <v>0.2032771371</v>
      </c>
      <c r="D295">
        <v>0.76831741509999996</v>
      </c>
      <c r="E295">
        <v>0.46300000000000002</v>
      </c>
      <c r="H295">
        <v>1839873266</v>
      </c>
      <c r="I295">
        <v>0</v>
      </c>
    </row>
    <row r="296" spans="1:9" ht="15.75" thickBot="1" x14ac:dyDescent="0.3">
      <c r="A296" s="1">
        <v>45851</v>
      </c>
      <c r="B296">
        <v>0.3765</v>
      </c>
      <c r="C296">
        <v>0.2127683678</v>
      </c>
      <c r="D296">
        <v>0.75778669990000003</v>
      </c>
      <c r="E296">
        <v>0.49340000000000001</v>
      </c>
      <c r="H296">
        <v>1814851467</v>
      </c>
      <c r="I296">
        <v>0</v>
      </c>
    </row>
    <row r="297" spans="1:9" ht="15.75" thickBot="1" x14ac:dyDescent="0.3">
      <c r="A297" s="1">
        <v>45852</v>
      </c>
      <c r="B297">
        <v>0.41049999999999998</v>
      </c>
      <c r="C297">
        <v>0.23385999160000001</v>
      </c>
      <c r="D297">
        <v>0.78491853599999994</v>
      </c>
      <c r="E297">
        <v>0.48649999999999999</v>
      </c>
      <c r="H297">
        <v>1859585151</v>
      </c>
      <c r="I297">
        <v>0</v>
      </c>
    </row>
    <row r="298" spans="1:9" ht="15.75" thickBot="1" x14ac:dyDescent="0.3">
      <c r="A298" s="1">
        <v>45853</v>
      </c>
      <c r="B298">
        <v>0.46450000000000002</v>
      </c>
      <c r="C298">
        <v>0.25600619660000001</v>
      </c>
      <c r="D298">
        <v>0.83345437600000005</v>
      </c>
      <c r="E298">
        <v>0.48649999999999999</v>
      </c>
      <c r="H298">
        <v>1930814840</v>
      </c>
      <c r="I298">
        <v>0</v>
      </c>
    </row>
    <row r="299" spans="1:9" ht="15.75" thickBot="1" x14ac:dyDescent="0.3">
      <c r="A299" s="1">
        <v>45854</v>
      </c>
      <c r="B299">
        <v>0.47439999999999999</v>
      </c>
      <c r="C299">
        <v>0.29080737579999999</v>
      </c>
      <c r="D299">
        <v>0.81004289019999998</v>
      </c>
      <c r="E299">
        <v>0.48649999999999999</v>
      </c>
      <c r="H299">
        <v>1943911983</v>
      </c>
      <c r="I299">
        <v>0</v>
      </c>
    </row>
    <row r="300" spans="1:9" ht="15.75" thickBot="1" x14ac:dyDescent="0.3">
      <c r="A300" s="1">
        <v>45855</v>
      </c>
      <c r="B300">
        <v>0.47439999999999999</v>
      </c>
      <c r="C300">
        <v>0.29080737579999999</v>
      </c>
      <c r="D300">
        <v>0.80612042149999996</v>
      </c>
      <c r="E300">
        <v>0.48649999999999999</v>
      </c>
      <c r="H300">
        <v>1943911983</v>
      </c>
      <c r="I300">
        <v>0</v>
      </c>
    </row>
    <row r="301" spans="1:9" ht="15.75" thickBot="1" x14ac:dyDescent="0.3">
      <c r="A301" s="1">
        <v>45856</v>
      </c>
      <c r="B301">
        <v>0.47439999999999999</v>
      </c>
      <c r="C301">
        <v>0.29080737579999999</v>
      </c>
      <c r="D301">
        <v>0.80612042149999996</v>
      </c>
      <c r="E301">
        <v>0.48649999999999999</v>
      </c>
      <c r="H301">
        <v>1943911983</v>
      </c>
      <c r="I301">
        <v>0</v>
      </c>
    </row>
    <row r="302" spans="1:9" ht="15.75" thickBot="1" x14ac:dyDescent="0.3">
      <c r="A302" s="1">
        <v>45857</v>
      </c>
      <c r="B302">
        <v>0.46279999999999999</v>
      </c>
      <c r="C302">
        <v>0.32139023030000002</v>
      </c>
      <c r="D302">
        <v>0.80612042149999996</v>
      </c>
      <c r="E302">
        <v>0.48649999999999999</v>
      </c>
      <c r="H302">
        <v>1928561919</v>
      </c>
      <c r="I302">
        <v>0</v>
      </c>
    </row>
    <row r="303" spans="1:9" ht="15.75" thickBot="1" x14ac:dyDescent="0.3">
      <c r="A303" s="1">
        <v>45858</v>
      </c>
      <c r="B303">
        <v>0.44929999999999998</v>
      </c>
      <c r="C303">
        <v>0.31822648669999998</v>
      </c>
      <c r="D303">
        <v>0.79315058169999997</v>
      </c>
      <c r="E303">
        <v>0.48649999999999999</v>
      </c>
      <c r="H303">
        <v>1910779408</v>
      </c>
      <c r="I303">
        <v>0</v>
      </c>
    </row>
    <row r="304" spans="1:9" ht="15.75" thickBot="1" x14ac:dyDescent="0.3">
      <c r="A304" s="1">
        <v>45859</v>
      </c>
      <c r="B304">
        <v>0.4582</v>
      </c>
      <c r="C304">
        <v>0.34986392240000003</v>
      </c>
      <c r="D304">
        <v>0.77356221820000004</v>
      </c>
      <c r="E304">
        <v>0.48649999999999999</v>
      </c>
      <c r="H304">
        <v>1922507286</v>
      </c>
      <c r="I304">
        <v>0</v>
      </c>
    </row>
    <row r="305" spans="1:16" ht="15.75" thickBot="1" x14ac:dyDescent="0.3">
      <c r="A305" s="1">
        <v>45860</v>
      </c>
      <c r="B305">
        <v>0.46279999999999999</v>
      </c>
      <c r="C305">
        <v>0.35830057189999998</v>
      </c>
      <c r="D305">
        <v>0.7942845006</v>
      </c>
      <c r="E305">
        <v>0.48649999999999999</v>
      </c>
      <c r="H305">
        <v>1928530306</v>
      </c>
      <c r="I305">
        <v>0</v>
      </c>
    </row>
    <row r="306" spans="1:16" ht="15.75" thickBot="1" x14ac:dyDescent="0.3">
      <c r="A306" s="1">
        <v>45861</v>
      </c>
      <c r="B306">
        <v>0.46379999999999999</v>
      </c>
      <c r="C306">
        <v>0.35408224719999998</v>
      </c>
      <c r="D306">
        <v>0.8167093742</v>
      </c>
      <c r="E306">
        <v>0.48649999999999999</v>
      </c>
      <c r="H306">
        <v>1929833969</v>
      </c>
      <c r="I306">
        <v>0</v>
      </c>
    </row>
    <row r="307" spans="1:16" ht="15.75" thickBot="1" x14ac:dyDescent="0.3">
      <c r="A307" s="1">
        <v>45862</v>
      </c>
      <c r="B307">
        <v>0.46379999999999999</v>
      </c>
      <c r="C307">
        <v>0.35408224719999998</v>
      </c>
      <c r="D307">
        <v>0.81868945010000005</v>
      </c>
      <c r="E307">
        <v>0.48649999999999999</v>
      </c>
      <c r="H307">
        <v>1929833969</v>
      </c>
      <c r="I307">
        <v>0</v>
      </c>
    </row>
    <row r="308" spans="1:16" ht="15.75" thickBot="1" x14ac:dyDescent="0.3">
      <c r="A308" s="1">
        <v>45863</v>
      </c>
      <c r="B308">
        <v>0.46379999999999999</v>
      </c>
      <c r="C308">
        <v>0.35408224719999998</v>
      </c>
      <c r="D308">
        <v>0.81868945010000005</v>
      </c>
      <c r="E308">
        <v>0.48649999999999999</v>
      </c>
      <c r="H308">
        <v>1929833969</v>
      </c>
      <c r="I308">
        <v>0</v>
      </c>
    </row>
    <row r="309" spans="1:16" ht="15.75" thickBot="1" x14ac:dyDescent="0.3">
      <c r="A309" s="1">
        <v>45864</v>
      </c>
      <c r="B309">
        <v>0.45750000000000002</v>
      </c>
      <c r="C309">
        <v>0.38888342640000001</v>
      </c>
      <c r="D309">
        <v>0.81868945010000005</v>
      </c>
      <c r="E309">
        <v>0.48649999999999999</v>
      </c>
      <c r="H309">
        <v>421610834.69999999</v>
      </c>
      <c r="I309">
        <v>-1500000000</v>
      </c>
      <c r="J309">
        <f>-I309</f>
        <v>1500000000</v>
      </c>
      <c r="L309" s="2">
        <f ca="1">TODAY()-A309</f>
        <v>28</v>
      </c>
      <c r="O309" s="3">
        <f ca="1">(1+P309)^(L309/365)-1</f>
        <v>1.5202600810846345E-3</v>
      </c>
      <c r="P309">
        <v>0.02</v>
      </c>
    </row>
    <row r="310" spans="1:16" ht="15.75" thickBot="1" x14ac:dyDescent="0.3">
      <c r="A310" s="1">
        <v>45865</v>
      </c>
      <c r="B310">
        <v>0.45029999999999998</v>
      </c>
      <c r="C310">
        <v>0.38150135810000002</v>
      </c>
      <c r="D310">
        <v>0.78985844859999998</v>
      </c>
      <c r="E310">
        <v>0.48649999999999999</v>
      </c>
      <c r="H310">
        <v>419510559.10000002</v>
      </c>
      <c r="I310">
        <v>0</v>
      </c>
      <c r="L310">
        <f>(1+B337)/(1+B309)-1</f>
        <v>6.5660377358490507E-2</v>
      </c>
      <c r="O310" s="3">
        <f ca="1">O309*I309</f>
        <v>-2280390.1216269517</v>
      </c>
    </row>
    <row r="311" spans="1:16" ht="15.75" thickBot="1" x14ac:dyDescent="0.3">
      <c r="A311" s="1">
        <v>45866</v>
      </c>
      <c r="B311">
        <v>0.45429999999999998</v>
      </c>
      <c r="C311">
        <v>0.35724599070000002</v>
      </c>
      <c r="D311">
        <v>0.78106800769999996</v>
      </c>
      <c r="E311">
        <v>0.48649999999999999</v>
      </c>
      <c r="H311">
        <v>420690963.10000002</v>
      </c>
      <c r="I311">
        <v>0</v>
      </c>
      <c r="N311" s="3">
        <f ca="1">(1+N312)^(L309/365)-1</f>
        <v>3.1592962089540544E-2</v>
      </c>
    </row>
    <row r="312" spans="1:16" ht="15.75" thickBot="1" x14ac:dyDescent="0.3">
      <c r="A312" s="1">
        <v>45867</v>
      </c>
      <c r="B312">
        <v>0.45469999999999999</v>
      </c>
      <c r="C312">
        <v>0.32455397390000001</v>
      </c>
      <c r="D312">
        <v>0.81217369859999999</v>
      </c>
      <c r="E312">
        <v>0.48649999999999999</v>
      </c>
      <c r="H312">
        <v>420784174.80000001</v>
      </c>
      <c r="I312">
        <v>0</v>
      </c>
      <c r="L312" s="3">
        <f ca="1">(1+L310)^(365/L309)-1</f>
        <v>1.2910313189039009</v>
      </c>
      <c r="N312">
        <v>0.5</v>
      </c>
    </row>
    <row r="313" spans="1:16" ht="15.75" thickBot="1" x14ac:dyDescent="0.3">
      <c r="A313" s="1">
        <v>45868</v>
      </c>
      <c r="B313">
        <v>0.45729999999999998</v>
      </c>
      <c r="C313">
        <v>0.29186195700000001</v>
      </c>
      <c r="D313">
        <v>0.81792551079999998</v>
      </c>
      <c r="E313">
        <v>0.51180000000000003</v>
      </c>
      <c r="H313">
        <v>421544167.39999998</v>
      </c>
      <c r="I313">
        <v>0</v>
      </c>
    </row>
    <row r="314" spans="1:16" ht="15.75" thickBot="1" x14ac:dyDescent="0.3">
      <c r="A314" s="1">
        <v>45869</v>
      </c>
      <c r="B314">
        <v>0.45729999999999998</v>
      </c>
      <c r="C314">
        <v>0.29186195700000001</v>
      </c>
      <c r="D314">
        <v>0.82051536790000001</v>
      </c>
      <c r="E314">
        <v>0.51180000000000003</v>
      </c>
      <c r="H314">
        <v>421544167.39999998</v>
      </c>
      <c r="I314">
        <v>0</v>
      </c>
      <c r="L314" s="3">
        <f ca="1">0.25*L312</f>
        <v>0.32275782972597522</v>
      </c>
      <c r="N314">
        <f ca="1">MAX(N311,0.75*L310)</f>
        <v>4.924528301886788E-2</v>
      </c>
      <c r="O314" s="3">
        <f ca="1">(1+L314)^(L309/365)-1</f>
        <v>2.1689758147636296E-2</v>
      </c>
      <c r="P314" s="3">
        <f ca="1">O314*I309</f>
        <v>-32534637.221454442</v>
      </c>
    </row>
    <row r="315" spans="1:16" ht="15.75" thickBot="1" x14ac:dyDescent="0.3">
      <c r="A315" s="1">
        <v>45870</v>
      </c>
      <c r="B315">
        <v>0.45729999999999998</v>
      </c>
      <c r="C315">
        <v>0.29186195700000001</v>
      </c>
      <c r="D315">
        <v>0.82051536790000001</v>
      </c>
      <c r="E315">
        <v>0.55049999999999999</v>
      </c>
      <c r="H315">
        <v>421544167.39999998</v>
      </c>
      <c r="I315">
        <v>0</v>
      </c>
    </row>
    <row r="316" spans="1:16" ht="15.75" thickBot="1" x14ac:dyDescent="0.3">
      <c r="A316" s="1">
        <v>45871</v>
      </c>
      <c r="B316">
        <v>0.46439999999999998</v>
      </c>
      <c r="C316">
        <v>0.274988658</v>
      </c>
      <c r="D316">
        <v>0.82051536790000001</v>
      </c>
      <c r="E316">
        <v>0.5706</v>
      </c>
      <c r="H316">
        <v>423586391.10000002</v>
      </c>
      <c r="I316">
        <v>0</v>
      </c>
      <c r="N316">
        <f ca="1">L310-N314</f>
        <v>1.6415094339622627E-2</v>
      </c>
      <c r="O316">
        <f ca="1">N316*I309</f>
        <v>-24622641.50943394</v>
      </c>
    </row>
    <row r="317" spans="1:16" ht="15.75" thickBot="1" x14ac:dyDescent="0.3">
      <c r="A317" s="1">
        <v>45872</v>
      </c>
      <c r="B317">
        <v>0.49220000000000003</v>
      </c>
      <c r="C317">
        <v>0.25706077779999997</v>
      </c>
      <c r="D317">
        <v>0.8784959645</v>
      </c>
      <c r="E317">
        <v>0.5706</v>
      </c>
      <c r="H317">
        <v>431651727.80000001</v>
      </c>
      <c r="I317">
        <v>0</v>
      </c>
    </row>
    <row r="318" spans="1:16" ht="15.75" thickBot="1" x14ac:dyDescent="0.3">
      <c r="A318" s="1">
        <v>45873</v>
      </c>
      <c r="B318">
        <v>0.50149999999999995</v>
      </c>
      <c r="C318">
        <v>0.26233368369999999</v>
      </c>
      <c r="D318">
        <v>0.91794675029999995</v>
      </c>
      <c r="E318">
        <v>0.5706</v>
      </c>
      <c r="H318">
        <v>434323475</v>
      </c>
      <c r="I318">
        <v>0</v>
      </c>
    </row>
    <row r="319" spans="1:16" ht="15.75" thickBot="1" x14ac:dyDescent="0.3">
      <c r="A319" s="1">
        <v>45874</v>
      </c>
      <c r="B319">
        <v>0.52769999999999995</v>
      </c>
      <c r="C319">
        <v>0.29608028180000001</v>
      </c>
      <c r="D319">
        <v>0.92603491510000002</v>
      </c>
      <c r="E319">
        <v>0.5706</v>
      </c>
      <c r="H319">
        <v>441908421.89999998</v>
      </c>
      <c r="I319">
        <v>0</v>
      </c>
    </row>
    <row r="320" spans="1:16" ht="15.75" thickBot="1" x14ac:dyDescent="0.3">
      <c r="A320" s="1">
        <v>45875</v>
      </c>
      <c r="B320">
        <v>0.52910000000000001</v>
      </c>
      <c r="C320">
        <v>0.2591699401</v>
      </c>
      <c r="D320">
        <v>0.9263603601</v>
      </c>
      <c r="E320">
        <v>0.5706</v>
      </c>
      <c r="H320">
        <v>442318864.30000001</v>
      </c>
      <c r="I320">
        <v>0</v>
      </c>
    </row>
    <row r="321" spans="1:9" ht="15.75" thickBot="1" x14ac:dyDescent="0.3">
      <c r="A321" s="1">
        <v>45876</v>
      </c>
      <c r="B321">
        <v>0.52910000000000001</v>
      </c>
      <c r="C321">
        <v>0.2591699401</v>
      </c>
      <c r="D321">
        <v>0.90954341780000003</v>
      </c>
      <c r="E321">
        <v>0.56220000000000003</v>
      </c>
      <c r="H321">
        <v>442318864.30000001</v>
      </c>
      <c r="I321">
        <v>0</v>
      </c>
    </row>
    <row r="322" spans="1:9" ht="15.75" thickBot="1" x14ac:dyDescent="0.3">
      <c r="A322" s="1">
        <v>45877</v>
      </c>
      <c r="B322">
        <v>0.52910000000000001</v>
      </c>
      <c r="C322">
        <v>0.2591699401</v>
      </c>
      <c r="D322">
        <v>0.90954341780000003</v>
      </c>
      <c r="E322">
        <v>0.56220000000000003</v>
      </c>
      <c r="H322">
        <v>442318864.30000001</v>
      </c>
      <c r="I322">
        <v>0</v>
      </c>
    </row>
    <row r="323" spans="1:9" ht="15.75" thickBot="1" x14ac:dyDescent="0.3">
      <c r="A323" s="1">
        <v>45878</v>
      </c>
      <c r="B323">
        <v>0.52039999999999997</v>
      </c>
      <c r="C323">
        <v>0.27287949560000002</v>
      </c>
      <c r="D323">
        <v>0.90954341780000003</v>
      </c>
      <c r="E323">
        <v>0.56220000000000003</v>
      </c>
      <c r="H323">
        <v>439807288.89999998</v>
      </c>
      <c r="I323">
        <v>0</v>
      </c>
    </row>
    <row r="324" spans="1:9" ht="15.75" thickBot="1" x14ac:dyDescent="0.3">
      <c r="A324" s="1">
        <v>45879</v>
      </c>
      <c r="B324">
        <v>0.51170000000000004</v>
      </c>
      <c r="C324">
        <v>0.2633882649</v>
      </c>
      <c r="D324">
        <v>0.88322348139999995</v>
      </c>
      <c r="E324">
        <v>0.56220000000000003</v>
      </c>
      <c r="H324">
        <v>437290038.69999999</v>
      </c>
      <c r="I324">
        <v>0</v>
      </c>
    </row>
    <row r="325" spans="1:9" ht="15.75" thickBot="1" x14ac:dyDescent="0.3">
      <c r="A325" s="1">
        <v>45880</v>
      </c>
      <c r="B325">
        <v>0.53080000000000005</v>
      </c>
      <c r="C325">
        <v>0.24018747870000001</v>
      </c>
      <c r="D325">
        <v>0.87270646919999995</v>
      </c>
      <c r="E325">
        <v>0.56220000000000003</v>
      </c>
      <c r="H325">
        <v>442814292.10000002</v>
      </c>
      <c r="I325">
        <v>0</v>
      </c>
    </row>
    <row r="326" spans="1:9" ht="15.75" thickBot="1" x14ac:dyDescent="0.3">
      <c r="A326" s="1">
        <v>45881</v>
      </c>
      <c r="B326">
        <v>0.52249999999999996</v>
      </c>
      <c r="C326">
        <v>0.2296416668</v>
      </c>
      <c r="D326">
        <v>0.89716623049999999</v>
      </c>
      <c r="E326">
        <v>0.56220000000000003</v>
      </c>
      <c r="H326">
        <v>440420485.19999999</v>
      </c>
      <c r="I326">
        <v>0</v>
      </c>
    </row>
    <row r="327" spans="1:9" ht="15.75" thickBot="1" x14ac:dyDescent="0.3">
      <c r="A327" s="1">
        <v>45882</v>
      </c>
      <c r="B327">
        <v>0.53739999999999999</v>
      </c>
      <c r="C327">
        <v>0.1948404876</v>
      </c>
      <c r="D327">
        <v>0.88509735940000001</v>
      </c>
      <c r="E327">
        <v>0.56220000000000003</v>
      </c>
      <c r="H327">
        <v>444721956.69999999</v>
      </c>
      <c r="I327">
        <v>0</v>
      </c>
    </row>
    <row r="328" spans="1:9" ht="15.75" thickBot="1" x14ac:dyDescent="0.3">
      <c r="A328" s="1">
        <v>45883</v>
      </c>
      <c r="B328">
        <v>0.53739999999999999</v>
      </c>
      <c r="C328">
        <v>0.1948404876</v>
      </c>
      <c r="D328">
        <v>0.91509996299999996</v>
      </c>
      <c r="E328">
        <v>0.56220000000000003</v>
      </c>
      <c r="H328">
        <v>444721956.69999999</v>
      </c>
      <c r="I328">
        <v>0</v>
      </c>
    </row>
    <row r="329" spans="1:9" ht="15.75" thickBot="1" x14ac:dyDescent="0.3">
      <c r="A329" s="1">
        <v>45884</v>
      </c>
      <c r="B329">
        <v>0.53739999999999999</v>
      </c>
      <c r="C329">
        <v>0.1948404876</v>
      </c>
      <c r="D329">
        <v>0.91509996299999996</v>
      </c>
      <c r="E329">
        <v>0.56389999999999996</v>
      </c>
      <c r="H329">
        <v>444721956.69999999</v>
      </c>
      <c r="I329">
        <v>0</v>
      </c>
    </row>
    <row r="330" spans="1:9" ht="15.75" thickBot="1" x14ac:dyDescent="0.3">
      <c r="A330" s="1">
        <v>45885</v>
      </c>
      <c r="B330">
        <v>0.52290000000000003</v>
      </c>
      <c r="C330">
        <v>0.19800423110000001</v>
      </c>
      <c r="D330">
        <v>0.91509996299999996</v>
      </c>
      <c r="E330">
        <v>0.56389999999999996</v>
      </c>
      <c r="H330">
        <v>440523007.89999998</v>
      </c>
      <c r="I330">
        <v>0</v>
      </c>
    </row>
    <row r="331" spans="1:9" ht="15.75" thickBot="1" x14ac:dyDescent="0.3">
      <c r="A331" s="1">
        <v>45886</v>
      </c>
      <c r="B331">
        <v>0.54290000000000005</v>
      </c>
      <c r="C331">
        <v>0.23385999160000001</v>
      </c>
      <c r="D331">
        <v>0.87977033859999998</v>
      </c>
      <c r="E331">
        <v>0.56559999999999999</v>
      </c>
      <c r="H331">
        <v>446321333.19999999</v>
      </c>
      <c r="I331">
        <v>0</v>
      </c>
    </row>
    <row r="332" spans="1:9" ht="15.75" thickBot="1" x14ac:dyDescent="0.3">
      <c r="A332" s="1">
        <v>45887</v>
      </c>
      <c r="B332">
        <v>0.5454</v>
      </c>
      <c r="C332">
        <v>0.25073329059999999</v>
      </c>
      <c r="D332">
        <v>0.8907943599</v>
      </c>
      <c r="E332">
        <v>0.56559999999999999</v>
      </c>
      <c r="H332">
        <v>447032637.19999999</v>
      </c>
      <c r="I332">
        <v>0</v>
      </c>
    </row>
    <row r="333" spans="1:9" ht="15.75" thickBot="1" x14ac:dyDescent="0.3">
      <c r="A333" s="1">
        <v>45888</v>
      </c>
      <c r="B333">
        <v>0.55030000000000001</v>
      </c>
      <c r="C333">
        <v>0.24018747870000001</v>
      </c>
      <c r="D333">
        <v>0.89961905809999998</v>
      </c>
      <c r="E333">
        <v>0.56899999999999995</v>
      </c>
      <c r="H333">
        <v>448462443.30000001</v>
      </c>
      <c r="I333">
        <v>0</v>
      </c>
    </row>
    <row r="334" spans="1:9" ht="15.75" thickBot="1" x14ac:dyDescent="0.3">
      <c r="A334" s="1">
        <v>45889</v>
      </c>
      <c r="B334">
        <v>0.55069999999999997</v>
      </c>
      <c r="C334">
        <v>0.2233141797</v>
      </c>
      <c r="D334">
        <v>0.90811145979999996</v>
      </c>
      <c r="E334">
        <v>0.5706</v>
      </c>
      <c r="H334">
        <v>448561668.30000001</v>
      </c>
      <c r="I334">
        <v>0</v>
      </c>
    </row>
    <row r="335" spans="1:9" ht="15.75" thickBot="1" x14ac:dyDescent="0.3">
      <c r="A335" s="1">
        <v>45890</v>
      </c>
      <c r="B335">
        <v>0.55069999999999997</v>
      </c>
      <c r="C335">
        <v>0.2233141797</v>
      </c>
      <c r="D335">
        <v>0.92557929210000001</v>
      </c>
      <c r="E335">
        <v>0.5706</v>
      </c>
      <c r="H335">
        <v>448561668.30000001</v>
      </c>
      <c r="I335">
        <v>0</v>
      </c>
    </row>
    <row r="336" spans="1:9" ht="15.75" thickBot="1" x14ac:dyDescent="0.3">
      <c r="A336" s="1">
        <v>45891</v>
      </c>
      <c r="B336">
        <v>0.55069999999999997</v>
      </c>
      <c r="C336">
        <v>0.2233141797</v>
      </c>
      <c r="D336">
        <v>0.92557929210000001</v>
      </c>
      <c r="E336">
        <v>0.5706</v>
      </c>
      <c r="H336">
        <v>448561668.30000001</v>
      </c>
      <c r="I336">
        <v>0</v>
      </c>
    </row>
    <row r="337" spans="1:15" ht="15.75" thickBot="1" x14ac:dyDescent="0.3">
      <c r="A337" s="1">
        <v>45892</v>
      </c>
      <c r="B337">
        <v>0.55320000000000003</v>
      </c>
      <c r="C337">
        <v>0.2233141797</v>
      </c>
      <c r="D337">
        <v>0.92557929210000001</v>
      </c>
      <c r="E337">
        <v>0.5706</v>
      </c>
      <c r="H337">
        <v>449277090.10000002</v>
      </c>
      <c r="I337">
        <v>0</v>
      </c>
      <c r="J337" s="3">
        <f ca="1">K337</f>
        <v>339328575.06944877</v>
      </c>
      <c r="K337" s="3">
        <f ca="1">H337-N337-O337</f>
        <v>339328575.06944877</v>
      </c>
      <c r="N337" s="3">
        <f ca="1">O316+O8</f>
        <v>87762925.443306595</v>
      </c>
      <c r="O337" s="3">
        <f ca="1">O310+O5</f>
        <v>22185589.587244686</v>
      </c>
    </row>
    <row r="338" spans="1:15" ht="15.75" thickBot="1" x14ac:dyDescent="0.3">
      <c r="A338" s="1">
        <v>45893</v>
      </c>
      <c r="B338">
        <v>0.55320000000000003</v>
      </c>
    </row>
    <row r="339" spans="1:15" ht="15.75" thickBot="1" x14ac:dyDescent="0.3">
      <c r="A339" s="1">
        <v>45894</v>
      </c>
      <c r="B339">
        <v>0.55559999999999998</v>
      </c>
    </row>
    <row r="340" spans="1:15" ht="15.75" thickBot="1" x14ac:dyDescent="0.3">
      <c r="A340" s="1">
        <v>45895</v>
      </c>
      <c r="B340">
        <v>0.55810000000000004</v>
      </c>
      <c r="J340">
        <f>(1+B389)/(1+B337)-1</f>
        <v>6.5284573783157329E-2</v>
      </c>
      <c r="K340" s="2">
        <f ca="1">A389-TODAY()</f>
        <v>52</v>
      </c>
      <c r="M340" s="3">
        <f ca="1">1.5^(K340/365)-1</f>
        <v>5.9465877643884335E-2</v>
      </c>
      <c r="N340">
        <f ca="1">MAX(M340,0.75*J340)</f>
        <v>5.9465877643884335E-2</v>
      </c>
    </row>
    <row r="341" spans="1:15" ht="15.75" thickBot="1" x14ac:dyDescent="0.3">
      <c r="A341" s="1">
        <v>45896</v>
      </c>
      <c r="B341">
        <v>0.56059999999999999</v>
      </c>
    </row>
    <row r="342" spans="1:15" ht="15.75" thickBot="1" x14ac:dyDescent="0.3">
      <c r="A342" s="1">
        <v>45897</v>
      </c>
      <c r="B342">
        <v>0.56310000000000004</v>
      </c>
      <c r="J342" s="3">
        <f ca="1">(1+J340)^(365/K340)-1</f>
        <v>0.5587901476624888</v>
      </c>
      <c r="K342">
        <f>0.5</f>
        <v>0.5</v>
      </c>
    </row>
    <row r="343" spans="1:15" ht="15.75" thickBot="1" x14ac:dyDescent="0.3">
      <c r="A343" s="1">
        <v>45898</v>
      </c>
      <c r="B343">
        <v>0.56310000000000004</v>
      </c>
      <c r="K343">
        <f ca="1">MAX(K342,0.75*J342)</f>
        <v>0.5</v>
      </c>
      <c r="N343" s="7">
        <f ca="1">1.02^(K340/365)-1</f>
        <v>2.8251795366143195E-3</v>
      </c>
    </row>
    <row r="344" spans="1:15" ht="15.75" thickBot="1" x14ac:dyDescent="0.3">
      <c r="A344" s="1">
        <v>45899</v>
      </c>
      <c r="B344">
        <v>0.5655</v>
      </c>
      <c r="K344">
        <f ca="1">K343-0.02</f>
        <v>0.48</v>
      </c>
      <c r="L344" s="8">
        <f ca="1">N340-N343</f>
        <v>5.6640698107270016E-2</v>
      </c>
    </row>
    <row r="345" spans="1:15" ht="15.75" thickBot="1" x14ac:dyDescent="0.3">
      <c r="A345" s="1">
        <v>45900</v>
      </c>
      <c r="B345">
        <v>0.56799999999999995</v>
      </c>
      <c r="K345" s="5">
        <f ca="1">(1+L344)^(365/K340)-1</f>
        <v>0.47214802376126386</v>
      </c>
    </row>
    <row r="346" spans="1:15" ht="15.75" thickBot="1" x14ac:dyDescent="0.3">
      <c r="A346" s="1">
        <v>45901</v>
      </c>
      <c r="B346">
        <v>0.56799999999999995</v>
      </c>
    </row>
    <row r="347" spans="1:15" ht="15.75" thickBot="1" x14ac:dyDescent="0.3">
      <c r="A347" s="1">
        <v>45902</v>
      </c>
      <c r="B347">
        <v>0.57050000000000001</v>
      </c>
      <c r="K347">
        <f ca="1">(1+K344)^(1/12)-1</f>
        <v>3.3209703593181095E-2</v>
      </c>
    </row>
    <row r="348" spans="1:15" ht="15.75" thickBot="1" x14ac:dyDescent="0.3">
      <c r="A348" s="1">
        <v>45903</v>
      </c>
      <c r="B348">
        <v>0.57299999999999995</v>
      </c>
      <c r="K348" s="3">
        <f ca="1">(1+K347)*K337</f>
        <v>350597576.46820164</v>
      </c>
    </row>
    <row r="349" spans="1:15" ht="15.75" thickBot="1" x14ac:dyDescent="0.3">
      <c r="A349" s="1">
        <v>45904</v>
      </c>
      <c r="B349">
        <v>0.57540000000000002</v>
      </c>
      <c r="K349">
        <f ca="1">K348*(1+K347)</f>
        <v>362240818.06319827</v>
      </c>
    </row>
    <row r="350" spans="1:15" ht="15.75" thickBot="1" x14ac:dyDescent="0.3">
      <c r="A350" s="1">
        <v>45905</v>
      </c>
      <c r="B350">
        <v>0.57540000000000002</v>
      </c>
      <c r="K350">
        <f ca="1">K349*(1+K347)</f>
        <v>374270728.26042855</v>
      </c>
    </row>
    <row r="351" spans="1:15" ht="15.75" thickBot="1" x14ac:dyDescent="0.3">
      <c r="A351" s="1">
        <v>45906</v>
      </c>
      <c r="B351">
        <v>0.57789999999999997</v>
      </c>
    </row>
    <row r="352" spans="1:15" ht="15.75" thickBot="1" x14ac:dyDescent="0.3">
      <c r="A352" s="1">
        <v>45907</v>
      </c>
      <c r="B352">
        <v>0.58040000000000003</v>
      </c>
    </row>
    <row r="353" spans="1:2" ht="15.75" thickBot="1" x14ac:dyDescent="0.3">
      <c r="A353" s="1">
        <v>45908</v>
      </c>
      <c r="B353">
        <v>0.58279999999999998</v>
      </c>
    </row>
    <row r="354" spans="1:2" ht="15.75" thickBot="1" x14ac:dyDescent="0.3">
      <c r="A354" s="1">
        <v>45909</v>
      </c>
      <c r="B354">
        <v>0.58530000000000004</v>
      </c>
    </row>
    <row r="355" spans="1:2" ht="15.75" thickBot="1" x14ac:dyDescent="0.3">
      <c r="A355" s="1">
        <v>45910</v>
      </c>
      <c r="B355">
        <v>0.58530000000000004</v>
      </c>
    </row>
    <row r="356" spans="1:2" ht="15.75" thickBot="1" x14ac:dyDescent="0.3">
      <c r="A356" s="1">
        <v>45911</v>
      </c>
      <c r="B356">
        <v>0.58779999999999999</v>
      </c>
    </row>
    <row r="357" spans="1:2" ht="15.75" thickBot="1" x14ac:dyDescent="0.3">
      <c r="A357" s="1">
        <v>45912</v>
      </c>
      <c r="B357">
        <v>0.58779999999999999</v>
      </c>
    </row>
    <row r="358" spans="1:2" ht="15.75" thickBot="1" x14ac:dyDescent="0.3">
      <c r="A358" s="1">
        <v>45913</v>
      </c>
      <c r="B358">
        <v>0.59030000000000005</v>
      </c>
    </row>
    <row r="359" spans="1:2" ht="15.75" thickBot="1" x14ac:dyDescent="0.3">
      <c r="A359" s="1">
        <v>45914</v>
      </c>
      <c r="B359">
        <v>0.5927</v>
      </c>
    </row>
    <row r="360" spans="1:2" ht="15.75" thickBot="1" x14ac:dyDescent="0.3">
      <c r="A360" s="1">
        <v>45915</v>
      </c>
      <c r="B360">
        <v>0.59519999999999995</v>
      </c>
    </row>
    <row r="361" spans="1:2" ht="15.75" thickBot="1" x14ac:dyDescent="0.3">
      <c r="A361" s="1">
        <v>45916</v>
      </c>
      <c r="B361">
        <v>0.59770000000000001</v>
      </c>
    </row>
    <row r="362" spans="1:2" ht="15.75" thickBot="1" x14ac:dyDescent="0.3">
      <c r="A362" s="1">
        <v>45917</v>
      </c>
      <c r="B362">
        <v>0.60019999999999996</v>
      </c>
    </row>
    <row r="363" spans="1:2" ht="15.75" thickBot="1" x14ac:dyDescent="0.3">
      <c r="A363" s="1">
        <v>45918</v>
      </c>
      <c r="B363">
        <v>0.60260000000000002</v>
      </c>
    </row>
    <row r="364" spans="1:2" ht="15.75" thickBot="1" x14ac:dyDescent="0.3">
      <c r="A364" s="1">
        <v>45919</v>
      </c>
      <c r="B364">
        <v>0.60260000000000002</v>
      </c>
    </row>
    <row r="365" spans="1:2" ht="15.75" thickBot="1" x14ac:dyDescent="0.3">
      <c r="A365" s="1">
        <v>45920</v>
      </c>
      <c r="B365">
        <v>0.60509999999999997</v>
      </c>
    </row>
    <row r="366" spans="1:2" ht="15.75" thickBot="1" x14ac:dyDescent="0.3">
      <c r="A366" s="1">
        <v>45921</v>
      </c>
      <c r="B366">
        <v>0.60760000000000003</v>
      </c>
    </row>
    <row r="367" spans="1:2" ht="15.75" thickBot="1" x14ac:dyDescent="0.3">
      <c r="A367" s="1">
        <v>45922</v>
      </c>
      <c r="B367">
        <v>0.61009999999999998</v>
      </c>
    </row>
    <row r="368" spans="1:2" ht="15.75" thickBot="1" x14ac:dyDescent="0.3">
      <c r="A368" s="1">
        <v>45923</v>
      </c>
      <c r="B368">
        <v>0.61250000000000004</v>
      </c>
    </row>
    <row r="369" spans="1:2" ht="15.75" thickBot="1" x14ac:dyDescent="0.3">
      <c r="A369" s="1">
        <v>45924</v>
      </c>
      <c r="B369">
        <v>0.61499999999999999</v>
      </c>
    </row>
    <row r="370" spans="1:2" ht="15.75" thickBot="1" x14ac:dyDescent="0.3">
      <c r="A370" s="1">
        <v>45925</v>
      </c>
      <c r="B370">
        <v>0.61750000000000005</v>
      </c>
    </row>
    <row r="371" spans="1:2" ht="15.75" thickBot="1" x14ac:dyDescent="0.3">
      <c r="A371" s="1">
        <v>45926</v>
      </c>
      <c r="B371">
        <v>0.61750000000000005</v>
      </c>
    </row>
    <row r="372" spans="1:2" ht="15.75" thickBot="1" x14ac:dyDescent="0.3">
      <c r="A372" s="1">
        <v>45927</v>
      </c>
      <c r="B372">
        <v>0.61990000000000001</v>
      </c>
    </row>
    <row r="373" spans="1:2" ht="15.75" thickBot="1" x14ac:dyDescent="0.3">
      <c r="A373" s="1">
        <v>45928</v>
      </c>
      <c r="B373">
        <v>0.62239999999999995</v>
      </c>
    </row>
    <row r="374" spans="1:2" ht="15.75" thickBot="1" x14ac:dyDescent="0.3">
      <c r="A374" s="1">
        <v>45929</v>
      </c>
      <c r="B374">
        <v>0.62490000000000001</v>
      </c>
    </row>
    <row r="375" spans="1:2" ht="15.75" thickBot="1" x14ac:dyDescent="0.3">
      <c r="A375" s="1">
        <v>45930</v>
      </c>
      <c r="B375">
        <v>0.62739999999999996</v>
      </c>
    </row>
    <row r="376" spans="1:2" ht="15.75" thickBot="1" x14ac:dyDescent="0.3">
      <c r="A376" s="1">
        <v>45931</v>
      </c>
      <c r="B376">
        <v>0.62980000000000003</v>
      </c>
    </row>
    <row r="377" spans="1:2" ht="15.75" thickBot="1" x14ac:dyDescent="0.3">
      <c r="A377" s="1">
        <v>45932</v>
      </c>
      <c r="B377">
        <v>0.63229999999999997</v>
      </c>
    </row>
    <row r="378" spans="1:2" ht="15.75" thickBot="1" x14ac:dyDescent="0.3">
      <c r="A378" s="1">
        <v>45933</v>
      </c>
      <c r="B378">
        <v>0.63229999999999997</v>
      </c>
    </row>
    <row r="379" spans="1:2" ht="15.75" thickBot="1" x14ac:dyDescent="0.3">
      <c r="A379" s="1">
        <v>45934</v>
      </c>
      <c r="B379">
        <v>0.63480000000000003</v>
      </c>
    </row>
    <row r="380" spans="1:2" ht="15.75" thickBot="1" x14ac:dyDescent="0.3">
      <c r="A380" s="1">
        <v>45935</v>
      </c>
      <c r="B380">
        <v>0.63729999999999998</v>
      </c>
    </row>
    <row r="381" spans="1:2" ht="15.75" thickBot="1" x14ac:dyDescent="0.3">
      <c r="A381" s="1">
        <v>45936</v>
      </c>
      <c r="B381">
        <v>0.63970000000000005</v>
      </c>
    </row>
    <row r="382" spans="1:2" ht="15.75" thickBot="1" x14ac:dyDescent="0.3">
      <c r="A382" s="1">
        <v>45937</v>
      </c>
      <c r="B382">
        <v>0.64219999999999999</v>
      </c>
    </row>
    <row r="383" spans="1:2" ht="15.75" thickBot="1" x14ac:dyDescent="0.3">
      <c r="A383" s="1">
        <v>45938</v>
      </c>
      <c r="B383">
        <v>0.64470000000000005</v>
      </c>
    </row>
    <row r="384" spans="1:2" ht="15.75" thickBot="1" x14ac:dyDescent="0.3">
      <c r="A384" s="1">
        <v>45939</v>
      </c>
      <c r="B384">
        <v>0.64710000000000001</v>
      </c>
    </row>
    <row r="385" spans="1:2" ht="15.75" thickBot="1" x14ac:dyDescent="0.3">
      <c r="A385" s="1">
        <v>45940</v>
      </c>
      <c r="B385">
        <v>0.64710000000000001</v>
      </c>
    </row>
    <row r="386" spans="1:2" ht="15.75" thickBot="1" x14ac:dyDescent="0.3">
      <c r="A386" s="1">
        <v>45941</v>
      </c>
      <c r="B386">
        <v>0.64959999999999996</v>
      </c>
    </row>
    <row r="387" spans="1:2" ht="15.75" thickBot="1" x14ac:dyDescent="0.3">
      <c r="A387" s="1">
        <v>45942</v>
      </c>
      <c r="B387">
        <v>0.65210000000000001</v>
      </c>
    </row>
    <row r="388" spans="1:2" ht="15.75" thickBot="1" x14ac:dyDescent="0.3">
      <c r="A388" s="1">
        <v>45943</v>
      </c>
      <c r="B388">
        <v>0.65459999999999996</v>
      </c>
    </row>
    <row r="389" spans="1:2" ht="15.75" thickBot="1" x14ac:dyDescent="0.3">
      <c r="A389" s="1">
        <v>45944</v>
      </c>
      <c r="B389">
        <v>0.65459999999999996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ARShafaat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S.Namati</dc:creator>
  <cp:lastModifiedBy>P.Yousefpoor</cp:lastModifiedBy>
  <dcterms:created xsi:type="dcterms:W3CDTF">2025-08-22T21:32:34Z</dcterms:created>
  <dcterms:modified xsi:type="dcterms:W3CDTF">2025-08-22T21:32:34Z</dcterms:modified>
</cp:coreProperties>
</file>
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D:\Sajjad Personal\Backup-Necessary\My Career\Website\Render\Design locally\static\"/>
    </mc:Choice>
  </mc:AlternateContent>
  <bookViews>
    <workbookView xWindow="0" yWindow="0" windowWidth="28800" windowHeight="12300"/>
  </bookViews>
  <sheets>
    <sheet name="investor-example-com-data-copy" sheetId="1" r:id="rId1"/>
    <sheet name="Sheet1" sheetId="2" r:id="rId2"/>
  </sheets>
  <calcPr calcId="0"/>
</workbook>
</file>

<file path=xl/calcChain.xml><?xml version="1.0" encoding="utf-8"?>
<calcChain xmlns="http://schemas.openxmlformats.org/spreadsheetml/2006/main">
  <c r="E14" i="2" l="1"/>
  <c r="E13" i="2"/>
  <c r="E11" i="2"/>
  <c r="E9" i="2"/>
  <c r="K3" i="1" l="1"/>
  <c r="D2" i="2" l="1"/>
  <c r="C2" i="2"/>
  <c r="B2" i="2"/>
  <c r="E1" i="2"/>
  <c r="D1" i="2"/>
  <c r="C1" i="2"/>
  <c r="B1" i="2"/>
  <c r="J307" i="1"/>
  <c r="J306" i="1"/>
  <c r="L306" i="1"/>
  <c r="K306" i="1"/>
  <c r="P144" i="1"/>
  <c r="P130" i="1"/>
  <c r="Q146" i="1"/>
  <c r="N132" i="1"/>
  <c r="K147" i="1"/>
  <c r="M146" i="1"/>
  <c r="Q144" i="1"/>
  <c r="L145" i="1"/>
  <c r="K144" i="1"/>
  <c r="K133" i="1"/>
  <c r="Q130" i="1"/>
  <c r="L132" i="1"/>
  <c r="K130" i="1"/>
  <c r="K4" i="1"/>
  <c r="Q2" i="1"/>
  <c r="N3" i="1"/>
  <c r="M3" i="1"/>
  <c r="L3" i="1"/>
  <c r="N5" i="1" l="1"/>
  <c r="M6" i="1" s="1"/>
  <c r="P2" i="1" l="1"/>
  <c r="P146" i="1" s="1"/>
  <c r="O146" i="1" s="1"/>
  <c r="E2" i="2" s="1"/>
  <c r="A2" i="2" s="1"/>
</calcChain>
</file>

<file path=xl/sharedStrings.xml><?xml version="1.0" encoding="utf-8"?>
<sst xmlns="http://schemas.openxmlformats.org/spreadsheetml/2006/main" count="150" uniqueCount="11">
  <si>
    <t>Date</t>
  </si>
  <si>
    <t>Ret</t>
  </si>
  <si>
    <t>Bourse Historical Ret</t>
  </si>
  <si>
    <t>Gold Historical</t>
  </si>
  <si>
    <t>Dollar Historical</t>
  </si>
  <si>
    <t>Historical Ret</t>
  </si>
  <si>
    <t>Historical Yearly Ret</t>
  </si>
  <si>
    <t>Historical Asset Value</t>
  </si>
  <si>
    <t>Contribution</t>
  </si>
  <si>
    <t xml:space="preserve"> -   </t>
  </si>
  <si>
    <t>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</si>
</sst>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(* #,##0.00_);_(* \(#,##0.00\);_(* &quot;-&quot;??_);_(@_)"/>
    <numFmt numFmtId="164" formatCode="0.0%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4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9">
    <xf numFmtId="0" fontId="0" fillId="0" borderId="0" xfId="0"/>
    <xf numFmtId="15" fontId="0" fillId="0" borderId="0" xfId="0" applyNumberFormat="1"/>
    <xf numFmtId="10" fontId="0" fillId="0" borderId="0" xfId="0" applyNumberFormat="1"/>
    <xf numFmtId="4" fontId="0" fillId="0" borderId="0" xfId="0" applyNumberFormat="1"/>
    <xf numFmtId="43" fontId="0" fillId="0" borderId="0" xfId="1" applyFont="1"/>
    <xf numFmtId="43" fontId="0" fillId="0" borderId="0" xfId="0" applyNumberFormat="1"/>
    <xf numFmtId="9" fontId="0" fillId="0" borderId="0" xfId="2" applyFont="1"/>
    <xf numFmtId="10" fontId="0" fillId="0" borderId="0" xfId="2" applyNumberFormat="1" applyFont="1"/>
    <xf numFmtId="164" fontId="0" fillId="0" borderId="0" xfId="0" applyNumberFormat="1"/>
  </cellXfs>
  <cellStyles count="44">
    <cellStyle name="20% - Accent1" xfId="21" builtinId="30" customBuiltin="1"/>
    <cellStyle name="20% - Accent2" xfId="25" builtinId="34" customBuiltin="1"/>
    <cellStyle name="20% - Accent3" xfId="29" builtinId="38" customBuiltin="1"/>
    <cellStyle name="20% - Accent4" xfId="33" builtinId="42" customBuiltin="1"/>
    <cellStyle name="20% - Accent5" xfId="37" builtinId="46" customBuiltin="1"/>
    <cellStyle name="20% - Accent6" xfId="41" builtinId="50" customBuiltin="1"/>
    <cellStyle name="40% - Accent1" xfId="22" builtinId="31" customBuiltin="1"/>
    <cellStyle name="40% - Accent2" xfId="26" builtinId="35" customBuiltin="1"/>
    <cellStyle name="40% - Accent3" xfId="30" builtinId="39" customBuiltin="1"/>
    <cellStyle name="40% - Accent4" xfId="34" builtinId="43" customBuiltin="1"/>
    <cellStyle name="40% - Accent5" xfId="38" builtinId="47" customBuiltin="1"/>
    <cellStyle name="40% - Accent6" xfId="42" builtinId="51" customBuiltin="1"/>
    <cellStyle name="60% - Accent1" xfId="23" builtinId="32" customBuiltin="1"/>
    <cellStyle name="60% - Accent2" xfId="27" builtinId="36" customBuiltin="1"/>
    <cellStyle name="60% - Accent3" xfId="31" builtinId="40" customBuiltin="1"/>
    <cellStyle name="60% - Accent4" xfId="35" builtinId="44" customBuiltin="1"/>
    <cellStyle name="60% - Accent5" xfId="39" builtinId="48" customBuiltin="1"/>
    <cellStyle name="60% - Accent6" xfId="43" builtinId="52" customBuiltin="1"/>
    <cellStyle name="Accent1" xfId="20" builtinId="29" customBuiltin="1"/>
    <cellStyle name="Accent2" xfId="24" builtinId="33" customBuiltin="1"/>
    <cellStyle name="Accent3" xfId="28" builtinId="37" customBuiltin="1"/>
    <cellStyle name="Accent4" xfId="32" builtinId="41" customBuiltin="1"/>
    <cellStyle name="Accent5" xfId="36" builtinId="45" customBuiltin="1"/>
    <cellStyle name="Accent6" xfId="40" builtinId="49" customBuiltin="1"/>
    <cellStyle name="Bad" xfId="9" builtinId="27" customBuiltin="1"/>
    <cellStyle name="Calculation" xfId="13" builtinId="22" customBuiltin="1"/>
    <cellStyle name="Check Cell" xfId="15" builtinId="23" customBuiltin="1"/>
    <cellStyle name="Comma" xfId="1" builtinId="3"/>
    <cellStyle name="Explanatory Text" xfId="18" builtinId="53" customBuiltin="1"/>
    <cellStyle name="Good" xfId="8" builtinId="26" customBuiltin="1"/>
    <cellStyle name="Heading 1" xfId="4" builtinId="16" customBuiltin="1"/>
    <cellStyle name="Heading 2" xfId="5" builtinId="17" customBuiltin="1"/>
    <cellStyle name="Heading 3" xfId="6" builtinId="18" customBuiltin="1"/>
    <cellStyle name="Heading 4" xfId="7" builtinId="19" customBuiltin="1"/>
    <cellStyle name="Input" xfId="11" builtinId="20" customBuiltin="1"/>
    <cellStyle name="Linked Cell" xfId="14" builtinId="24" customBuiltin="1"/>
    <cellStyle name="Neutral" xfId="10" builtinId="28" customBuiltin="1"/>
    <cellStyle name="Normal" xfId="0" builtinId="0"/>
    <cellStyle name="Note" xfId="17" builtinId="10" customBuiltin="1"/>
    <cellStyle name="Output" xfId="12" builtinId="21" customBuiltin="1"/>
    <cellStyle name="Percent" xfId="2" builtinId="5"/>
    <cellStyle name="Title" xfId="3" builtinId="15" customBuiltin="1"/>
    <cellStyle name="Total" xfId="19" builtinId="25" customBuiltin="1"/>
    <cellStyle name="Warning Text" xfId="16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364"/>
  <sheetViews>
    <sheetView tabSelected="1" workbookViewId="0">
      <selection activeCell="A2" sqref="A2"/>
    </sheetView>
  </sheetViews>
  <sheetFormatPr defaultRowHeight="15" x14ac:dyDescent="0.25"/>
  <cols>
    <col min="1" max="1" width="13.42578125" customWidth="1"/>
    <col min="9" max="9" width="20" customWidth="1"/>
    <col min="12" max="12" width="9.42578125" bestFit="1" customWidth="1"/>
    <col min="13" max="13" width="11" bestFit="1" customWidth="1"/>
    <col min="15" max="15" width="15.42578125" bestFit="1" customWidth="1"/>
    <col min="16" max="16" width="16.7109375" customWidth="1"/>
    <col min="17" max="18" width="17.28515625" customWidth="1"/>
  </cols>
  <sheetData>
    <row r="1" spans="1:20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20" x14ac:dyDescent="0.25">
      <c r="A2" s="1">
        <v>45582</v>
      </c>
      <c r="B2">
        <v>-8.2000000000000007E-3</v>
      </c>
      <c r="C2">
        <v>0</v>
      </c>
      <c r="D2">
        <v>0</v>
      </c>
      <c r="E2">
        <v>0</v>
      </c>
      <c r="F2">
        <v>-8.2000000000000007E-3</v>
      </c>
      <c r="H2">
        <v>2028110559</v>
      </c>
      <c r="I2" s="4">
        <v>2028110559</v>
      </c>
      <c r="K2" s="2">
        <v>0.47749999999999998</v>
      </c>
      <c r="L2">
        <v>304.39999999999998</v>
      </c>
      <c r="M2">
        <v>0.40229999999999999</v>
      </c>
      <c r="P2" s="5">
        <f ca="1">K3*I2-N5*I2</f>
        <v>153018233.67484331</v>
      </c>
      <c r="Q2" s="5">
        <f>N3*I2</f>
        <v>33727295.898467392</v>
      </c>
      <c r="T2">
        <v>0.53639999999999999</v>
      </c>
    </row>
    <row r="3" spans="1:20" x14ac:dyDescent="0.25">
      <c r="A3" s="1">
        <v>45583</v>
      </c>
      <c r="B3">
        <v>-8.2000000000000007E-3</v>
      </c>
      <c r="C3">
        <v>0</v>
      </c>
      <c r="D3">
        <v>0</v>
      </c>
      <c r="E3">
        <v>0</v>
      </c>
      <c r="F3">
        <v>-8.2000000000000007E-3</v>
      </c>
      <c r="H3">
        <v>2028110559</v>
      </c>
      <c r="I3">
        <v>0</v>
      </c>
      <c r="K3" s="2">
        <f>(1+B307)/(1+B2)-1</f>
        <v>0.48185117967332114</v>
      </c>
      <c r="L3" s="4">
        <f ca="1">TODAY()-A2</f>
        <v>307</v>
      </c>
      <c r="M3">
        <f>H301</f>
        <v>5593715570</v>
      </c>
      <c r="N3">
        <f>(1+T3)^(304/365)-1</f>
        <v>1.6629909917286412E-2</v>
      </c>
      <c r="Q3" t="s">
        <v>9</v>
      </c>
      <c r="T3">
        <v>0.02</v>
      </c>
    </row>
    <row r="4" spans="1:20" x14ac:dyDescent="0.25">
      <c r="A4" s="1">
        <v>45584</v>
      </c>
      <c r="B4">
        <v>-3.5000000000000001E-3</v>
      </c>
      <c r="C4">
        <v>0</v>
      </c>
      <c r="D4">
        <v>0</v>
      </c>
      <c r="E4">
        <v>0</v>
      </c>
      <c r="F4">
        <v>-3.5000000000000001E-3</v>
      </c>
      <c r="H4">
        <v>2037809408</v>
      </c>
      <c r="I4">
        <v>0</v>
      </c>
      <c r="K4">
        <f>0.75*K3</f>
        <v>0.36138838475499085</v>
      </c>
      <c r="Q4" t="s">
        <v>9</v>
      </c>
      <c r="T4">
        <v>0.5</v>
      </c>
    </row>
    <row r="5" spans="1:20" x14ac:dyDescent="0.25">
      <c r="A5" s="1">
        <v>45585</v>
      </c>
      <c r="B5">
        <v>2.53E-2</v>
      </c>
      <c r="C5">
        <v>0</v>
      </c>
      <c r="D5">
        <v>0.02</v>
      </c>
      <c r="E5">
        <v>6.3E-3</v>
      </c>
      <c r="F5">
        <v>2.53E-2</v>
      </c>
      <c r="H5">
        <v>2096664961</v>
      </c>
      <c r="I5">
        <v>0</v>
      </c>
      <c r="N5" s="5">
        <f ca="1">(1+T4)^(L3/365)-1</f>
        <v>0.40640251490709067</v>
      </c>
      <c r="Q5" t="s">
        <v>9</v>
      </c>
    </row>
    <row r="6" spans="1:20" x14ac:dyDescent="0.25">
      <c r="A6" s="1">
        <v>45586</v>
      </c>
      <c r="B6">
        <v>2.2100000000000002E-2</v>
      </c>
      <c r="C6">
        <v>0</v>
      </c>
      <c r="D6">
        <v>0.04</v>
      </c>
      <c r="E6">
        <v>1.5299999999999999E-2</v>
      </c>
      <c r="F6">
        <v>2.2100000000000002E-2</v>
      </c>
      <c r="H6">
        <v>2090071400</v>
      </c>
      <c r="I6">
        <v>0</v>
      </c>
      <c r="M6" s="7">
        <f ca="1">N5-N3</f>
        <v>0.38977260498980426</v>
      </c>
      <c r="Q6" t="s">
        <v>9</v>
      </c>
    </row>
    <row r="7" spans="1:20" x14ac:dyDescent="0.25">
      <c r="A7" s="1">
        <v>45587</v>
      </c>
      <c r="B7">
        <v>1.89E-2</v>
      </c>
      <c r="C7">
        <v>0</v>
      </c>
      <c r="D7">
        <v>0.04</v>
      </c>
      <c r="E7">
        <v>3.9100000000000003E-2</v>
      </c>
      <c r="F7">
        <v>1.89E-2</v>
      </c>
      <c r="H7">
        <v>2083553253</v>
      </c>
      <c r="I7">
        <v>0</v>
      </c>
      <c r="Q7" t="s">
        <v>9</v>
      </c>
    </row>
    <row r="8" spans="1:20" x14ac:dyDescent="0.25">
      <c r="A8" s="1">
        <v>45588</v>
      </c>
      <c r="B8">
        <v>1.9800000000000002E-2</v>
      </c>
      <c r="C8">
        <v>0</v>
      </c>
      <c r="D8">
        <v>0.05</v>
      </c>
      <c r="E8">
        <v>6.8099999999999994E-2</v>
      </c>
      <c r="F8">
        <v>1.9800000000000002E-2</v>
      </c>
      <c r="H8">
        <v>2085524371</v>
      </c>
      <c r="I8">
        <v>0</v>
      </c>
      <c r="Q8" t="s">
        <v>9</v>
      </c>
    </row>
    <row r="9" spans="1:20" x14ac:dyDescent="0.25">
      <c r="A9" s="1">
        <v>45589</v>
      </c>
      <c r="B9">
        <v>1.5800000000000002E-2</v>
      </c>
      <c r="C9">
        <v>0</v>
      </c>
      <c r="D9">
        <v>7.0000000000000007E-2</v>
      </c>
      <c r="E9">
        <v>6.8900000000000003E-2</v>
      </c>
      <c r="F9">
        <v>1.5800000000000002E-2</v>
      </c>
      <c r="H9">
        <v>2077215509</v>
      </c>
      <c r="I9">
        <v>0</v>
      </c>
      <c r="Q9" t="s">
        <v>9</v>
      </c>
    </row>
    <row r="10" spans="1:20" x14ac:dyDescent="0.25">
      <c r="A10" s="1">
        <v>45590</v>
      </c>
      <c r="B10">
        <v>1.5800000000000002E-2</v>
      </c>
      <c r="C10">
        <v>0</v>
      </c>
      <c r="D10">
        <v>7.0000000000000007E-2</v>
      </c>
      <c r="E10">
        <v>6.8900000000000003E-2</v>
      </c>
      <c r="F10">
        <v>1.5800000000000002E-2</v>
      </c>
      <c r="H10">
        <v>2077215509</v>
      </c>
      <c r="I10">
        <v>0</v>
      </c>
      <c r="Q10" t="s">
        <v>9</v>
      </c>
    </row>
    <row r="11" spans="1:20" x14ac:dyDescent="0.25">
      <c r="A11" s="1">
        <v>45591</v>
      </c>
      <c r="B11">
        <v>-2.93E-2</v>
      </c>
      <c r="C11">
        <v>0</v>
      </c>
      <c r="D11">
        <v>7.0000000000000007E-2</v>
      </c>
      <c r="E11">
        <v>2.8199999999999999E-2</v>
      </c>
      <c r="F11">
        <v>-2.93E-2</v>
      </c>
      <c r="H11">
        <v>1984967640</v>
      </c>
      <c r="I11">
        <v>0</v>
      </c>
      <c r="Q11" t="s">
        <v>9</v>
      </c>
    </row>
    <row r="12" spans="1:20" x14ac:dyDescent="0.25">
      <c r="A12" s="1">
        <v>45592</v>
      </c>
      <c r="B12">
        <v>-2E-3</v>
      </c>
      <c r="C12">
        <v>0</v>
      </c>
      <c r="D12">
        <v>-0.02</v>
      </c>
      <c r="E12">
        <v>3.9100000000000003E-2</v>
      </c>
      <c r="F12">
        <v>-2E-3</v>
      </c>
      <c r="H12">
        <v>2040890703</v>
      </c>
      <c r="I12">
        <v>0</v>
      </c>
      <c r="Q12" t="s">
        <v>9</v>
      </c>
    </row>
    <row r="13" spans="1:20" x14ac:dyDescent="0.25">
      <c r="A13" s="1">
        <v>45593</v>
      </c>
      <c r="B13">
        <v>1.0200000000000001E-2</v>
      </c>
      <c r="C13">
        <v>0</v>
      </c>
      <c r="D13">
        <v>0</v>
      </c>
      <c r="E13">
        <v>5.74E-2</v>
      </c>
      <c r="F13">
        <v>1.0200000000000001E-2</v>
      </c>
      <c r="H13">
        <v>2065755819</v>
      </c>
      <c r="I13">
        <v>0</v>
      </c>
      <c r="Q13" t="s">
        <v>9</v>
      </c>
    </row>
    <row r="14" spans="1:20" x14ac:dyDescent="0.25">
      <c r="A14" s="1">
        <v>45594</v>
      </c>
      <c r="B14">
        <v>2.4899999999999999E-2</v>
      </c>
      <c r="C14">
        <v>0</v>
      </c>
      <c r="D14">
        <v>0.03</v>
      </c>
      <c r="E14">
        <v>7.3599999999999999E-2</v>
      </c>
      <c r="F14">
        <v>2.4899999999999999E-2</v>
      </c>
      <c r="H14">
        <v>2095966888</v>
      </c>
      <c r="I14">
        <v>0</v>
      </c>
      <c r="Q14" t="s">
        <v>9</v>
      </c>
    </row>
    <row r="15" spans="1:20" x14ac:dyDescent="0.25">
      <c r="A15" s="1">
        <v>45595</v>
      </c>
      <c r="B15">
        <v>3.49E-2</v>
      </c>
      <c r="C15">
        <v>0</v>
      </c>
      <c r="D15">
        <v>7.0000000000000007E-2</v>
      </c>
      <c r="E15">
        <v>7.9500000000000001E-2</v>
      </c>
      <c r="F15">
        <v>3.49E-2</v>
      </c>
      <c r="H15">
        <v>2116294059</v>
      </c>
      <c r="I15">
        <v>0</v>
      </c>
      <c r="Q15" t="s">
        <v>9</v>
      </c>
    </row>
    <row r="16" spans="1:20" x14ac:dyDescent="0.25">
      <c r="A16" s="1">
        <v>45596</v>
      </c>
      <c r="B16">
        <v>4.4600000000000001E-2</v>
      </c>
      <c r="C16">
        <v>0</v>
      </c>
      <c r="D16">
        <v>7.0000000000000007E-2</v>
      </c>
      <c r="E16">
        <v>6.9599999999999995E-2</v>
      </c>
      <c r="F16">
        <v>4.4600000000000001E-2</v>
      </c>
      <c r="H16">
        <v>2136136214</v>
      </c>
      <c r="I16">
        <v>0</v>
      </c>
      <c r="Q16" t="s">
        <v>9</v>
      </c>
    </row>
    <row r="17" spans="1:17" x14ac:dyDescent="0.25">
      <c r="A17" s="1">
        <v>45597</v>
      </c>
      <c r="B17">
        <v>4.4600000000000001E-2</v>
      </c>
      <c r="C17">
        <v>0</v>
      </c>
      <c r="D17">
        <v>7.0000000000000007E-2</v>
      </c>
      <c r="E17">
        <v>6.9599999999999995E-2</v>
      </c>
      <c r="F17">
        <v>4.4600000000000001E-2</v>
      </c>
      <c r="H17">
        <v>2136136214</v>
      </c>
      <c r="I17">
        <v>0</v>
      </c>
      <c r="Q17" t="s">
        <v>9</v>
      </c>
    </row>
    <row r="18" spans="1:17" x14ac:dyDescent="0.25">
      <c r="A18" s="1">
        <v>45598</v>
      </c>
      <c r="B18">
        <v>2.1000000000000001E-2</v>
      </c>
      <c r="C18">
        <v>-0.01</v>
      </c>
      <c r="D18">
        <v>7.0000000000000007E-2</v>
      </c>
      <c r="E18">
        <v>8.8900000000000007E-2</v>
      </c>
      <c r="F18">
        <v>2.1000000000000001E-2</v>
      </c>
      <c r="H18">
        <v>2087866523</v>
      </c>
      <c r="I18">
        <v>0</v>
      </c>
      <c r="Q18" t="s">
        <v>9</v>
      </c>
    </row>
    <row r="19" spans="1:17" x14ac:dyDescent="0.25">
      <c r="A19" s="1">
        <v>45599</v>
      </c>
      <c r="B19">
        <v>3.6900000000000002E-2</v>
      </c>
      <c r="C19">
        <v>-0.03</v>
      </c>
      <c r="D19">
        <v>0.06</v>
      </c>
      <c r="E19">
        <v>8.9200000000000002E-2</v>
      </c>
      <c r="F19">
        <v>3.6900000000000002E-2</v>
      </c>
      <c r="H19">
        <v>2120356071</v>
      </c>
      <c r="I19">
        <v>0</v>
      </c>
      <c r="Q19" t="s">
        <v>9</v>
      </c>
    </row>
    <row r="20" spans="1:17" x14ac:dyDescent="0.25">
      <c r="A20" s="1">
        <v>45600</v>
      </c>
      <c r="B20">
        <v>1.9199999999999998E-2</v>
      </c>
      <c r="C20">
        <v>-0.04</v>
      </c>
      <c r="D20">
        <v>0.08</v>
      </c>
      <c r="E20">
        <v>8.14E-2</v>
      </c>
      <c r="F20">
        <v>1.9199999999999998E-2</v>
      </c>
      <c r="H20">
        <v>2084241998</v>
      </c>
      <c r="I20">
        <v>0</v>
      </c>
      <c r="Q20" t="s">
        <v>9</v>
      </c>
    </row>
    <row r="21" spans="1:17" x14ac:dyDescent="0.25">
      <c r="A21" s="1">
        <v>45601</v>
      </c>
      <c r="B21">
        <v>1.54E-2</v>
      </c>
      <c r="C21">
        <v>-0.02</v>
      </c>
      <c r="D21">
        <v>0.06</v>
      </c>
      <c r="E21">
        <v>7.9000000000000001E-2</v>
      </c>
      <c r="F21">
        <v>1.54E-2</v>
      </c>
      <c r="H21">
        <v>2076418151</v>
      </c>
      <c r="I21">
        <v>0</v>
      </c>
      <c r="Q21" t="s">
        <v>9</v>
      </c>
    </row>
    <row r="22" spans="1:17" x14ac:dyDescent="0.25">
      <c r="A22" s="1">
        <v>45602</v>
      </c>
      <c r="B22">
        <v>3.1399999999999997E-2</v>
      </c>
      <c r="C22">
        <v>-0.04</v>
      </c>
      <c r="D22">
        <v>0.04</v>
      </c>
      <c r="E22">
        <v>9.2299999999999993E-2</v>
      </c>
      <c r="F22">
        <v>3.1399999999999997E-2</v>
      </c>
      <c r="H22">
        <v>2109201328</v>
      </c>
      <c r="I22">
        <v>0</v>
      </c>
      <c r="Q22" t="s">
        <v>9</v>
      </c>
    </row>
    <row r="23" spans="1:17" x14ac:dyDescent="0.25">
      <c r="A23" s="1">
        <v>45603</v>
      </c>
      <c r="B23">
        <v>4.6300000000000001E-2</v>
      </c>
      <c r="C23">
        <v>-0.04</v>
      </c>
      <c r="D23">
        <v>7.0000000000000007E-2</v>
      </c>
      <c r="E23">
        <v>8.6099999999999996E-2</v>
      </c>
      <c r="F23">
        <v>4.6300000000000001E-2</v>
      </c>
      <c r="H23">
        <v>2139600616</v>
      </c>
      <c r="I23">
        <v>0</v>
      </c>
      <c r="Q23" t="s">
        <v>9</v>
      </c>
    </row>
    <row r="24" spans="1:17" x14ac:dyDescent="0.25">
      <c r="A24" s="1">
        <v>45604</v>
      </c>
      <c r="B24">
        <v>4.6300000000000001E-2</v>
      </c>
      <c r="C24">
        <v>-0.04</v>
      </c>
      <c r="D24">
        <v>7.0000000000000007E-2</v>
      </c>
      <c r="E24">
        <v>8.6099999999999996E-2</v>
      </c>
      <c r="F24">
        <v>4.6300000000000001E-2</v>
      </c>
      <c r="H24">
        <v>2139600616</v>
      </c>
      <c r="I24">
        <v>0</v>
      </c>
      <c r="Q24" t="s">
        <v>9</v>
      </c>
    </row>
    <row r="25" spans="1:17" x14ac:dyDescent="0.25">
      <c r="A25" s="1">
        <v>45605</v>
      </c>
      <c r="B25">
        <v>2.8500000000000001E-2</v>
      </c>
      <c r="C25">
        <v>-0.01</v>
      </c>
      <c r="D25">
        <v>7.0000000000000007E-2</v>
      </c>
      <c r="E25">
        <v>8.4500000000000006E-2</v>
      </c>
      <c r="F25">
        <v>2.8500000000000001E-2</v>
      </c>
      <c r="G25">
        <v>0.45710000000000001</v>
      </c>
      <c r="H25">
        <v>2103299803</v>
      </c>
      <c r="I25">
        <v>0</v>
      </c>
      <c r="Q25" t="s">
        <v>9</v>
      </c>
    </row>
    <row r="26" spans="1:17" x14ac:dyDescent="0.25">
      <c r="A26" s="1">
        <v>45606</v>
      </c>
      <c r="B26">
        <v>2.2100000000000002E-2</v>
      </c>
      <c r="C26">
        <v>-0.01</v>
      </c>
      <c r="D26">
        <v>0.04</v>
      </c>
      <c r="E26">
        <v>6.9199999999999998E-2</v>
      </c>
      <c r="F26">
        <v>2.2100000000000002E-2</v>
      </c>
      <c r="G26">
        <v>0.32229999999999998</v>
      </c>
      <c r="H26">
        <v>2090168027</v>
      </c>
      <c r="I26">
        <v>0</v>
      </c>
      <c r="Q26" t="s">
        <v>9</v>
      </c>
    </row>
    <row r="27" spans="1:17" x14ac:dyDescent="0.25">
      <c r="A27" s="1">
        <v>45607</v>
      </c>
      <c r="B27">
        <v>1.23E-2</v>
      </c>
      <c r="C27">
        <v>-0.01</v>
      </c>
      <c r="D27">
        <v>0.01</v>
      </c>
      <c r="E27">
        <v>4.8500000000000001E-2</v>
      </c>
      <c r="F27">
        <v>1.23E-2</v>
      </c>
      <c r="G27">
        <v>0.16120000000000001</v>
      </c>
      <c r="H27">
        <v>2070120121</v>
      </c>
      <c r="I27">
        <v>0</v>
      </c>
      <c r="Q27" t="s">
        <v>9</v>
      </c>
    </row>
    <row r="28" spans="1:17" x14ac:dyDescent="0.25">
      <c r="A28" s="1">
        <v>45608</v>
      </c>
      <c r="B28">
        <v>1.7100000000000001E-2</v>
      </c>
      <c r="C28">
        <v>-0.01</v>
      </c>
      <c r="D28">
        <v>-0.03</v>
      </c>
      <c r="E28">
        <v>6.4899999999999999E-2</v>
      </c>
      <c r="F28">
        <v>1.7100000000000001E-2</v>
      </c>
      <c r="G28">
        <v>0.219</v>
      </c>
      <c r="H28">
        <v>2079829954</v>
      </c>
      <c r="I28">
        <v>0</v>
      </c>
      <c r="Q28" t="s">
        <v>9</v>
      </c>
    </row>
    <row r="29" spans="1:17" x14ac:dyDescent="0.25">
      <c r="A29" s="1">
        <v>45609</v>
      </c>
      <c r="B29">
        <v>2.7300000000000001E-2</v>
      </c>
      <c r="C29">
        <v>-0.01</v>
      </c>
      <c r="D29">
        <v>-0.01</v>
      </c>
      <c r="E29">
        <v>6.9599999999999995E-2</v>
      </c>
      <c r="F29">
        <v>2.7300000000000001E-2</v>
      </c>
      <c r="G29">
        <v>0.35310000000000002</v>
      </c>
      <c r="H29">
        <v>2100715443</v>
      </c>
      <c r="I29">
        <v>0</v>
      </c>
      <c r="Q29" t="s">
        <v>9</v>
      </c>
    </row>
    <row r="30" spans="1:17" x14ac:dyDescent="0.25">
      <c r="A30" s="1">
        <v>45610</v>
      </c>
      <c r="B30">
        <v>4.02E-2</v>
      </c>
      <c r="C30">
        <v>-0.01</v>
      </c>
      <c r="D30">
        <v>0.01</v>
      </c>
      <c r="E30">
        <v>7.2800000000000004E-2</v>
      </c>
      <c r="F30">
        <v>4.02E-2</v>
      </c>
      <c r="G30">
        <v>0.53100000000000003</v>
      </c>
      <c r="H30">
        <v>2127154116</v>
      </c>
      <c r="I30">
        <v>0</v>
      </c>
      <c r="Q30" t="s">
        <v>9</v>
      </c>
    </row>
    <row r="31" spans="1:17" x14ac:dyDescent="0.25">
      <c r="A31" s="1">
        <v>45611</v>
      </c>
      <c r="B31">
        <v>4.02E-2</v>
      </c>
      <c r="C31">
        <v>-0.01</v>
      </c>
      <c r="D31">
        <v>0.01</v>
      </c>
      <c r="E31">
        <v>7.2800000000000004E-2</v>
      </c>
      <c r="F31">
        <v>4.02E-2</v>
      </c>
      <c r="G31">
        <v>0.53100000000000003</v>
      </c>
      <c r="H31">
        <v>2127154116</v>
      </c>
      <c r="I31">
        <v>0</v>
      </c>
      <c r="Q31" t="s">
        <v>9</v>
      </c>
    </row>
    <row r="32" spans="1:17" x14ac:dyDescent="0.25">
      <c r="A32" s="1">
        <v>45612</v>
      </c>
      <c r="B32">
        <v>2.5600000000000001E-2</v>
      </c>
      <c r="C32">
        <v>-0.01</v>
      </c>
      <c r="D32">
        <v>0.01</v>
      </c>
      <c r="E32">
        <v>7.0099999999999996E-2</v>
      </c>
      <c r="F32">
        <v>2.5600000000000001E-2</v>
      </c>
      <c r="G32">
        <v>0.3014</v>
      </c>
      <c r="H32">
        <v>2097373351</v>
      </c>
      <c r="I32">
        <v>0</v>
      </c>
      <c r="Q32" t="s">
        <v>9</v>
      </c>
    </row>
    <row r="33" spans="1:17" x14ac:dyDescent="0.25">
      <c r="A33" s="1">
        <v>45613</v>
      </c>
      <c r="B33">
        <v>2.5499999999999998E-2</v>
      </c>
      <c r="C33">
        <v>-0.01</v>
      </c>
      <c r="D33">
        <v>0</v>
      </c>
      <c r="E33">
        <v>7.0400000000000004E-2</v>
      </c>
      <c r="F33">
        <v>2.5499999999999998E-2</v>
      </c>
      <c r="G33">
        <v>0.28799999999999998</v>
      </c>
      <c r="H33">
        <v>2097176936</v>
      </c>
      <c r="I33">
        <v>0</v>
      </c>
      <c r="Q33" t="s">
        <v>9</v>
      </c>
    </row>
    <row r="34" spans="1:17" x14ac:dyDescent="0.25">
      <c r="A34" s="1">
        <v>45614</v>
      </c>
      <c r="B34">
        <v>2.35E-2</v>
      </c>
      <c r="C34">
        <v>-0.01</v>
      </c>
      <c r="D34">
        <v>0</v>
      </c>
      <c r="E34">
        <v>7.1999999999999995E-2</v>
      </c>
      <c r="F34">
        <v>2.35E-2</v>
      </c>
      <c r="G34">
        <v>0.25219999999999998</v>
      </c>
      <c r="H34">
        <v>2092977458</v>
      </c>
      <c r="I34">
        <v>0</v>
      </c>
      <c r="Q34" t="s">
        <v>9</v>
      </c>
    </row>
    <row r="35" spans="1:17" x14ac:dyDescent="0.25">
      <c r="A35" s="1">
        <v>45615</v>
      </c>
      <c r="B35">
        <v>2.5999999999999999E-2</v>
      </c>
      <c r="C35">
        <v>-0.01</v>
      </c>
      <c r="D35">
        <v>0</v>
      </c>
      <c r="E35">
        <v>8.2199999999999995E-2</v>
      </c>
      <c r="F35">
        <v>2.5999999999999999E-2</v>
      </c>
      <c r="G35">
        <v>0.27160000000000001</v>
      </c>
      <c r="H35">
        <v>2098079110</v>
      </c>
      <c r="I35">
        <v>0</v>
      </c>
      <c r="Q35" t="s">
        <v>9</v>
      </c>
    </row>
    <row r="36" spans="1:17" x14ac:dyDescent="0.25">
      <c r="A36" s="1">
        <v>45616</v>
      </c>
      <c r="B36">
        <v>3.9E-2</v>
      </c>
      <c r="C36">
        <v>-0.01</v>
      </c>
      <c r="D36">
        <v>0.02</v>
      </c>
      <c r="E36">
        <v>8.2600000000000007E-2</v>
      </c>
      <c r="F36">
        <v>3.9E-2</v>
      </c>
      <c r="G36">
        <v>0.41449999999999998</v>
      </c>
      <c r="H36">
        <v>2124692798</v>
      </c>
      <c r="I36">
        <v>0</v>
      </c>
      <c r="Q36" t="s">
        <v>9</v>
      </c>
    </row>
    <row r="37" spans="1:17" x14ac:dyDescent="0.25">
      <c r="A37" s="1">
        <v>45617</v>
      </c>
      <c r="B37">
        <v>3.0200000000000001E-2</v>
      </c>
      <c r="C37">
        <v>-0.01</v>
      </c>
      <c r="D37">
        <v>0.04</v>
      </c>
      <c r="E37">
        <v>8.5800000000000001E-2</v>
      </c>
      <c r="F37">
        <v>3.0200000000000001E-2</v>
      </c>
      <c r="G37">
        <v>0.29870000000000002</v>
      </c>
      <c r="H37">
        <v>2106725466</v>
      </c>
      <c r="I37">
        <v>0</v>
      </c>
      <c r="Q37" t="s">
        <v>9</v>
      </c>
    </row>
    <row r="38" spans="1:17" x14ac:dyDescent="0.25">
      <c r="A38" s="1">
        <v>45618</v>
      </c>
      <c r="B38">
        <v>3.0200000000000001E-2</v>
      </c>
      <c r="C38">
        <v>-0.01</v>
      </c>
      <c r="D38">
        <v>0.04</v>
      </c>
      <c r="E38">
        <v>8.5800000000000001E-2</v>
      </c>
      <c r="F38">
        <v>3.0200000000000001E-2</v>
      </c>
      <c r="G38">
        <v>0.29870000000000002</v>
      </c>
      <c r="H38">
        <v>2106725466</v>
      </c>
      <c r="I38">
        <v>0</v>
      </c>
      <c r="Q38" t="s">
        <v>9</v>
      </c>
    </row>
    <row r="39" spans="1:17" x14ac:dyDescent="0.25">
      <c r="A39" s="1">
        <v>45619</v>
      </c>
      <c r="B39">
        <v>3.2399999999999998E-2</v>
      </c>
      <c r="C39">
        <v>-0.01</v>
      </c>
      <c r="D39">
        <v>0.04</v>
      </c>
      <c r="E39">
        <v>9.8599999999999993E-2</v>
      </c>
      <c r="F39">
        <v>3.2399999999999998E-2</v>
      </c>
      <c r="G39">
        <v>0.31219999999999998</v>
      </c>
      <c r="H39">
        <v>2111258746</v>
      </c>
      <c r="I39">
        <v>0</v>
      </c>
      <c r="Q39" t="s">
        <v>9</v>
      </c>
    </row>
    <row r="40" spans="1:17" x14ac:dyDescent="0.25">
      <c r="A40" s="1">
        <v>45620</v>
      </c>
      <c r="B40">
        <v>4.1300000000000003E-2</v>
      </c>
      <c r="C40">
        <v>-0.01</v>
      </c>
      <c r="D40">
        <v>7.0000000000000007E-2</v>
      </c>
      <c r="E40">
        <v>7.8200000000000006E-2</v>
      </c>
      <c r="F40">
        <v>4.1300000000000003E-2</v>
      </c>
      <c r="G40">
        <v>0.39750000000000002</v>
      </c>
      <c r="H40">
        <v>2129453964</v>
      </c>
      <c r="I40">
        <v>0</v>
      </c>
      <c r="Q40" t="s">
        <v>9</v>
      </c>
    </row>
    <row r="41" spans="1:17" x14ac:dyDescent="0.25">
      <c r="A41" s="1">
        <v>45621</v>
      </c>
      <c r="B41">
        <v>2.52E-2</v>
      </c>
      <c r="C41">
        <v>-0.01</v>
      </c>
      <c r="D41">
        <v>0.05</v>
      </c>
      <c r="E41">
        <v>8.5300000000000001E-2</v>
      </c>
      <c r="F41">
        <v>2.52E-2</v>
      </c>
      <c r="G41">
        <v>0.2215</v>
      </c>
      <c r="H41">
        <v>2096548159</v>
      </c>
      <c r="I41">
        <v>0</v>
      </c>
      <c r="Q41" t="s">
        <v>9</v>
      </c>
    </row>
    <row r="42" spans="1:17" x14ac:dyDescent="0.25">
      <c r="A42" s="1">
        <v>45622</v>
      </c>
      <c r="B42">
        <v>2.9499999999999998E-2</v>
      </c>
      <c r="C42">
        <v>-0.01</v>
      </c>
      <c r="D42">
        <v>0.03</v>
      </c>
      <c r="E42">
        <v>8.8900000000000007E-2</v>
      </c>
      <c r="F42">
        <v>2.9499999999999998E-2</v>
      </c>
      <c r="G42">
        <v>0.25430000000000003</v>
      </c>
      <c r="H42">
        <v>2105177235</v>
      </c>
      <c r="I42">
        <v>0</v>
      </c>
      <c r="Q42" t="s">
        <v>9</v>
      </c>
    </row>
    <row r="43" spans="1:17" x14ac:dyDescent="0.25">
      <c r="A43" s="1">
        <v>45623</v>
      </c>
      <c r="B43">
        <v>3.4799999999999998E-2</v>
      </c>
      <c r="C43">
        <v>-0.01</v>
      </c>
      <c r="D43">
        <v>0.03</v>
      </c>
      <c r="E43">
        <v>9.4700000000000006E-2</v>
      </c>
      <c r="F43">
        <v>3.4799999999999998E-2</v>
      </c>
      <c r="G43">
        <v>0.29649999999999999</v>
      </c>
      <c r="H43">
        <v>2116078426</v>
      </c>
      <c r="I43">
        <v>0</v>
      </c>
      <c r="Q43" t="s">
        <v>9</v>
      </c>
    </row>
    <row r="44" spans="1:17" x14ac:dyDescent="0.25">
      <c r="A44" s="1">
        <v>45624</v>
      </c>
      <c r="B44">
        <v>3.04E-2</v>
      </c>
      <c r="C44">
        <v>-0.01</v>
      </c>
      <c r="D44">
        <v>0.04</v>
      </c>
      <c r="E44">
        <v>9.8599999999999993E-2</v>
      </c>
      <c r="F44">
        <v>3.04E-2</v>
      </c>
      <c r="G44">
        <v>0.24809999999999999</v>
      </c>
      <c r="H44">
        <v>2107167047</v>
      </c>
      <c r="I44">
        <v>0</v>
      </c>
      <c r="Q44" t="s">
        <v>9</v>
      </c>
    </row>
    <row r="45" spans="1:17" x14ac:dyDescent="0.25">
      <c r="A45" s="1">
        <v>45625</v>
      </c>
      <c r="B45">
        <v>3.04E-2</v>
      </c>
      <c r="C45">
        <v>-0.01</v>
      </c>
      <c r="D45">
        <v>0.04</v>
      </c>
      <c r="E45">
        <v>9.8599999999999993E-2</v>
      </c>
      <c r="F45">
        <v>3.04E-2</v>
      </c>
      <c r="G45">
        <v>0.24809999999999999</v>
      </c>
      <c r="H45">
        <v>2107167047</v>
      </c>
      <c r="I45">
        <v>0</v>
      </c>
      <c r="Q45" t="s">
        <v>9</v>
      </c>
    </row>
    <row r="46" spans="1:17" x14ac:dyDescent="0.25">
      <c r="A46" s="1">
        <v>45626</v>
      </c>
      <c r="B46">
        <v>4.5199999999999997E-2</v>
      </c>
      <c r="C46">
        <v>-0.01</v>
      </c>
      <c r="D46">
        <v>0.04</v>
      </c>
      <c r="E46">
        <v>0.10589999999999999</v>
      </c>
      <c r="F46">
        <v>4.5199999999999997E-2</v>
      </c>
      <c r="G46">
        <v>0.37480000000000002</v>
      </c>
      <c r="H46">
        <v>2137311239</v>
      </c>
      <c r="I46">
        <v>0</v>
      </c>
      <c r="Q46" t="s">
        <v>9</v>
      </c>
    </row>
    <row r="47" spans="1:17" x14ac:dyDescent="0.25">
      <c r="A47" s="1">
        <v>45627</v>
      </c>
      <c r="B47">
        <v>3.9E-2</v>
      </c>
      <c r="C47">
        <v>0.13</v>
      </c>
      <c r="D47">
        <v>0.06</v>
      </c>
      <c r="E47">
        <v>9.9400000000000002E-2</v>
      </c>
      <c r="F47">
        <v>3.9E-2</v>
      </c>
      <c r="G47">
        <v>0.30859999999999999</v>
      </c>
      <c r="H47">
        <v>2124769095</v>
      </c>
      <c r="I47">
        <v>0</v>
      </c>
      <c r="Q47" t="s">
        <v>9</v>
      </c>
    </row>
    <row r="48" spans="1:17" x14ac:dyDescent="0.25">
      <c r="A48" s="1">
        <v>45628</v>
      </c>
      <c r="B48">
        <v>4.4699999999999997E-2</v>
      </c>
      <c r="C48">
        <v>0.17</v>
      </c>
      <c r="D48">
        <v>0.05</v>
      </c>
      <c r="E48">
        <v>0.10879999999999999</v>
      </c>
      <c r="F48">
        <v>4.4699999999999997E-2</v>
      </c>
      <c r="G48">
        <v>0.34910000000000002</v>
      </c>
      <c r="H48">
        <v>2136268941</v>
      </c>
      <c r="I48">
        <v>0</v>
      </c>
      <c r="Q48" t="s">
        <v>9</v>
      </c>
    </row>
    <row r="49" spans="1:17" x14ac:dyDescent="0.25">
      <c r="A49" s="1">
        <v>45629</v>
      </c>
      <c r="B49">
        <v>4.7800000000000002E-2</v>
      </c>
      <c r="C49">
        <v>0.17</v>
      </c>
      <c r="D49">
        <v>0.05</v>
      </c>
      <c r="E49">
        <v>0.1182</v>
      </c>
      <c r="F49">
        <v>4.7800000000000002E-2</v>
      </c>
      <c r="G49">
        <v>0.36709999999999998</v>
      </c>
      <c r="H49">
        <v>2142798192</v>
      </c>
      <c r="I49">
        <v>0</v>
      </c>
      <c r="Q49" t="s">
        <v>9</v>
      </c>
    </row>
    <row r="50" spans="1:17" x14ac:dyDescent="0.25">
      <c r="A50" s="1">
        <v>45630</v>
      </c>
      <c r="B50">
        <v>4.48E-2</v>
      </c>
      <c r="C50">
        <v>0.17</v>
      </c>
      <c r="D50">
        <v>0.06</v>
      </c>
      <c r="E50">
        <v>0.12280000000000001</v>
      </c>
      <c r="F50">
        <v>4.48E-2</v>
      </c>
      <c r="G50">
        <v>0.33200000000000002</v>
      </c>
      <c r="H50">
        <v>2136666732</v>
      </c>
      <c r="I50">
        <v>0</v>
      </c>
      <c r="Q50" t="s">
        <v>9</v>
      </c>
    </row>
    <row r="51" spans="1:17" x14ac:dyDescent="0.25">
      <c r="A51" s="1">
        <v>45631</v>
      </c>
      <c r="B51">
        <v>4.48E-2</v>
      </c>
      <c r="C51">
        <v>0.17</v>
      </c>
      <c r="D51">
        <v>7.0000000000000007E-2</v>
      </c>
      <c r="E51">
        <v>0.1197</v>
      </c>
      <c r="F51">
        <v>4.48E-2</v>
      </c>
      <c r="G51">
        <v>0.33200000000000002</v>
      </c>
      <c r="H51">
        <v>2136666732</v>
      </c>
      <c r="I51">
        <v>0</v>
      </c>
      <c r="Q51" t="s">
        <v>9</v>
      </c>
    </row>
    <row r="52" spans="1:17" x14ac:dyDescent="0.25">
      <c r="A52" s="1">
        <v>45632</v>
      </c>
      <c r="B52">
        <v>4.48E-2</v>
      </c>
      <c r="C52">
        <v>0.17</v>
      </c>
      <c r="D52">
        <v>7.0000000000000007E-2</v>
      </c>
      <c r="E52">
        <v>0.1197</v>
      </c>
      <c r="F52">
        <v>4.48E-2</v>
      </c>
      <c r="G52">
        <v>0.33200000000000002</v>
      </c>
      <c r="H52">
        <v>2136666732</v>
      </c>
      <c r="I52">
        <v>0</v>
      </c>
      <c r="Q52" t="s">
        <v>9</v>
      </c>
    </row>
    <row r="53" spans="1:17" x14ac:dyDescent="0.25">
      <c r="A53" s="1">
        <v>45633</v>
      </c>
      <c r="B53">
        <v>4.7300000000000002E-2</v>
      </c>
      <c r="C53">
        <v>0.15</v>
      </c>
      <c r="D53">
        <v>7.0000000000000007E-2</v>
      </c>
      <c r="E53">
        <v>0.1236</v>
      </c>
      <c r="F53">
        <v>4.7300000000000002E-2</v>
      </c>
      <c r="G53">
        <v>0.34310000000000002</v>
      </c>
      <c r="H53">
        <v>2141619532</v>
      </c>
      <c r="I53">
        <v>0</v>
      </c>
      <c r="Q53" t="s">
        <v>9</v>
      </c>
    </row>
    <row r="54" spans="1:17" x14ac:dyDescent="0.25">
      <c r="A54" s="1">
        <v>45634</v>
      </c>
      <c r="B54">
        <v>5.0200000000000002E-2</v>
      </c>
      <c r="C54">
        <v>0.15</v>
      </c>
      <c r="D54">
        <v>0.06</v>
      </c>
      <c r="E54">
        <v>0.12939999999999999</v>
      </c>
      <c r="F54">
        <v>5.0200000000000002E-2</v>
      </c>
      <c r="G54">
        <v>0.35799999999999998</v>
      </c>
      <c r="H54">
        <v>2147656378</v>
      </c>
      <c r="I54">
        <v>0</v>
      </c>
      <c r="Q54" t="s">
        <v>9</v>
      </c>
    </row>
    <row r="55" spans="1:17" x14ac:dyDescent="0.25">
      <c r="A55" s="1">
        <v>45635</v>
      </c>
      <c r="B55">
        <v>4.8300000000000003E-2</v>
      </c>
      <c r="C55">
        <v>0.18</v>
      </c>
      <c r="D55">
        <v>7.0000000000000007E-2</v>
      </c>
      <c r="E55">
        <v>0.13070000000000001</v>
      </c>
      <c r="F55">
        <v>4.8300000000000003E-2</v>
      </c>
      <c r="G55">
        <v>0.33410000000000001</v>
      </c>
      <c r="H55">
        <v>2143761446</v>
      </c>
      <c r="I55">
        <v>0</v>
      </c>
      <c r="Q55" t="s">
        <v>9</v>
      </c>
    </row>
    <row r="56" spans="1:17" x14ac:dyDescent="0.25">
      <c r="A56" s="1">
        <v>45636</v>
      </c>
      <c r="B56">
        <v>5.2999999999999999E-2</v>
      </c>
      <c r="C56">
        <v>0.18</v>
      </c>
      <c r="D56">
        <v>7.0000000000000007E-2</v>
      </c>
      <c r="E56">
        <v>0.13769999999999999</v>
      </c>
      <c r="F56">
        <v>5.2999999999999999E-2</v>
      </c>
      <c r="G56">
        <v>0.3614</v>
      </c>
      <c r="H56">
        <v>2153238801</v>
      </c>
      <c r="I56">
        <v>0</v>
      </c>
      <c r="Q56" t="s">
        <v>9</v>
      </c>
    </row>
    <row r="57" spans="1:17" x14ac:dyDescent="0.25">
      <c r="A57" s="1">
        <v>45637</v>
      </c>
      <c r="B57">
        <v>5.8099999999999999E-2</v>
      </c>
      <c r="C57">
        <v>0.18</v>
      </c>
      <c r="D57">
        <v>0.08</v>
      </c>
      <c r="E57">
        <v>0.151</v>
      </c>
      <c r="F57">
        <v>5.8099999999999999E-2</v>
      </c>
      <c r="G57">
        <v>0.3916</v>
      </c>
      <c r="H57">
        <v>2163693097</v>
      </c>
      <c r="I57">
        <v>0</v>
      </c>
      <c r="Q57" t="s">
        <v>9</v>
      </c>
    </row>
    <row r="58" spans="1:17" x14ac:dyDescent="0.25">
      <c r="A58" s="1">
        <v>45638</v>
      </c>
      <c r="B58">
        <v>6.4799999999999996E-2</v>
      </c>
      <c r="C58">
        <v>0.18</v>
      </c>
      <c r="D58">
        <v>0.11</v>
      </c>
      <c r="E58">
        <v>0.1479</v>
      </c>
      <c r="F58">
        <v>6.4799999999999996E-2</v>
      </c>
      <c r="G58">
        <v>0.43359999999999999</v>
      </c>
      <c r="H58">
        <v>2177520662</v>
      </c>
      <c r="I58">
        <v>0</v>
      </c>
      <c r="Q58" t="s">
        <v>9</v>
      </c>
    </row>
    <row r="59" spans="1:17" x14ac:dyDescent="0.25">
      <c r="A59" s="1">
        <v>45639</v>
      </c>
      <c r="B59">
        <v>6.4799999999999996E-2</v>
      </c>
      <c r="C59">
        <v>0.18</v>
      </c>
      <c r="D59">
        <v>0.11</v>
      </c>
      <c r="E59">
        <v>0.1479</v>
      </c>
      <c r="F59">
        <v>6.4799999999999996E-2</v>
      </c>
      <c r="G59">
        <v>0.43359999999999999</v>
      </c>
      <c r="H59">
        <v>2177520662</v>
      </c>
      <c r="I59">
        <v>0</v>
      </c>
      <c r="Q59" t="s">
        <v>9</v>
      </c>
    </row>
    <row r="60" spans="1:17" x14ac:dyDescent="0.25">
      <c r="A60" s="1">
        <v>45640</v>
      </c>
      <c r="B60">
        <v>5.7500000000000002E-2</v>
      </c>
      <c r="C60">
        <v>0.18</v>
      </c>
      <c r="D60">
        <v>0.11</v>
      </c>
      <c r="E60">
        <v>0.17610000000000001</v>
      </c>
      <c r="F60">
        <v>5.7500000000000002E-2</v>
      </c>
      <c r="G60">
        <v>0.36899999999999999</v>
      </c>
      <c r="H60">
        <v>2162494932</v>
      </c>
      <c r="I60">
        <v>0</v>
      </c>
      <c r="Q60" t="s">
        <v>9</v>
      </c>
    </row>
    <row r="61" spans="1:17" x14ac:dyDescent="0.25">
      <c r="A61" s="1">
        <v>45641</v>
      </c>
      <c r="B61">
        <v>6.5199999999999994E-2</v>
      </c>
      <c r="C61">
        <v>0.18</v>
      </c>
      <c r="D61">
        <v>0.12</v>
      </c>
      <c r="E61">
        <v>0.1721</v>
      </c>
      <c r="F61">
        <v>6.5199999999999994E-2</v>
      </c>
      <c r="G61">
        <v>0.41620000000000001</v>
      </c>
      <c r="H61">
        <v>2178271590</v>
      </c>
      <c r="I61">
        <v>0</v>
      </c>
      <c r="Q61" t="s">
        <v>9</v>
      </c>
    </row>
    <row r="62" spans="1:17" x14ac:dyDescent="0.25">
      <c r="A62" s="1">
        <v>45642</v>
      </c>
      <c r="B62">
        <v>5.4800000000000001E-2</v>
      </c>
      <c r="C62">
        <v>0.18</v>
      </c>
      <c r="D62">
        <v>0.12</v>
      </c>
      <c r="E62">
        <v>0.19409999999999999</v>
      </c>
      <c r="F62">
        <v>5.4800000000000001E-2</v>
      </c>
      <c r="G62">
        <v>0.33439999999999998</v>
      </c>
      <c r="H62">
        <v>2157098659</v>
      </c>
      <c r="I62">
        <v>0</v>
      </c>
      <c r="Q62" t="s">
        <v>9</v>
      </c>
    </row>
    <row r="63" spans="1:17" x14ac:dyDescent="0.25">
      <c r="A63" s="1">
        <v>45643</v>
      </c>
      <c r="B63">
        <v>6.2199999999999998E-2</v>
      </c>
      <c r="C63">
        <v>0.18</v>
      </c>
      <c r="D63">
        <v>0.13</v>
      </c>
      <c r="E63">
        <v>0.20269999999999999</v>
      </c>
      <c r="F63">
        <v>6.2199999999999998E-2</v>
      </c>
      <c r="G63">
        <v>0.37730000000000002</v>
      </c>
      <c r="H63">
        <v>2172223110</v>
      </c>
      <c r="I63">
        <v>0</v>
      </c>
      <c r="Q63" t="s">
        <v>9</v>
      </c>
    </row>
    <row r="64" spans="1:17" x14ac:dyDescent="0.25">
      <c r="A64" s="1">
        <v>45644</v>
      </c>
      <c r="B64">
        <v>6.2199999999999998E-2</v>
      </c>
      <c r="C64">
        <v>0.18</v>
      </c>
      <c r="D64">
        <v>0.14000000000000001</v>
      </c>
      <c r="E64">
        <v>0.2097</v>
      </c>
      <c r="F64">
        <v>6.2199999999999998E-2</v>
      </c>
      <c r="G64">
        <v>0.37730000000000002</v>
      </c>
      <c r="H64">
        <v>2172223110</v>
      </c>
      <c r="I64">
        <v>0</v>
      </c>
      <c r="Q64" t="s">
        <v>9</v>
      </c>
    </row>
    <row r="65" spans="1:17" x14ac:dyDescent="0.25">
      <c r="A65" s="1">
        <v>45645</v>
      </c>
      <c r="B65">
        <v>8.4099999999999994E-2</v>
      </c>
      <c r="C65">
        <v>0.18</v>
      </c>
      <c r="D65">
        <v>0.14000000000000001</v>
      </c>
      <c r="E65">
        <v>0.20580000000000001</v>
      </c>
      <c r="F65">
        <v>8.4099999999999994E-2</v>
      </c>
      <c r="G65">
        <v>0.52239999999999998</v>
      </c>
      <c r="H65">
        <v>2216979672</v>
      </c>
      <c r="I65">
        <v>0</v>
      </c>
      <c r="Q65" t="s">
        <v>9</v>
      </c>
    </row>
    <row r="66" spans="1:17" x14ac:dyDescent="0.25">
      <c r="A66" s="1">
        <v>45646</v>
      </c>
      <c r="B66">
        <v>8.4099999999999994E-2</v>
      </c>
      <c r="C66">
        <v>0.18</v>
      </c>
      <c r="D66">
        <v>0.14000000000000001</v>
      </c>
      <c r="E66">
        <v>0.20580000000000001</v>
      </c>
      <c r="F66">
        <v>8.4099999999999994E-2</v>
      </c>
      <c r="G66">
        <v>0.52239999999999998</v>
      </c>
      <c r="H66">
        <v>2216979672</v>
      </c>
      <c r="I66">
        <v>0</v>
      </c>
      <c r="Q66" t="s">
        <v>9</v>
      </c>
    </row>
    <row r="67" spans="1:17" x14ac:dyDescent="0.25">
      <c r="A67" s="1">
        <v>45647</v>
      </c>
      <c r="B67">
        <v>6.3500000000000001E-2</v>
      </c>
      <c r="C67">
        <v>0.18</v>
      </c>
      <c r="D67">
        <v>0.14000000000000001</v>
      </c>
      <c r="E67">
        <v>0.19409999999999999</v>
      </c>
      <c r="F67">
        <v>6.3500000000000001E-2</v>
      </c>
      <c r="G67">
        <v>0.36969999999999997</v>
      </c>
      <c r="H67">
        <v>2174823210</v>
      </c>
      <c r="I67">
        <v>0</v>
      </c>
      <c r="Q67" t="s">
        <v>9</v>
      </c>
    </row>
    <row r="68" spans="1:17" x14ac:dyDescent="0.25">
      <c r="A68" s="1">
        <v>45648</v>
      </c>
      <c r="B68">
        <v>5.45E-2</v>
      </c>
      <c r="C68">
        <v>0.18</v>
      </c>
      <c r="D68">
        <v>0.11</v>
      </c>
      <c r="E68">
        <v>0.1953</v>
      </c>
      <c r="F68">
        <v>5.45E-2</v>
      </c>
      <c r="G68">
        <v>0.30509999999999998</v>
      </c>
      <c r="H68">
        <v>2156411207</v>
      </c>
      <c r="I68">
        <v>0</v>
      </c>
      <c r="Q68" t="s">
        <v>9</v>
      </c>
    </row>
    <row r="69" spans="1:17" x14ac:dyDescent="0.25">
      <c r="A69" s="1">
        <v>45649</v>
      </c>
      <c r="B69">
        <v>5.6399999999999999E-2</v>
      </c>
      <c r="C69">
        <v>0.18</v>
      </c>
      <c r="D69">
        <v>0.1</v>
      </c>
      <c r="E69">
        <v>0.22459999999999999</v>
      </c>
      <c r="F69">
        <v>5.6399999999999999E-2</v>
      </c>
      <c r="G69">
        <v>0.31069999999999998</v>
      </c>
      <c r="H69">
        <v>2160326163</v>
      </c>
      <c r="I69">
        <v>0</v>
      </c>
      <c r="Q69" t="s">
        <v>9</v>
      </c>
    </row>
    <row r="70" spans="1:17" x14ac:dyDescent="0.25">
      <c r="A70" s="1">
        <v>45650</v>
      </c>
      <c r="B70">
        <v>5.1799999999999999E-2</v>
      </c>
      <c r="C70">
        <v>0.18</v>
      </c>
      <c r="D70">
        <v>0.13</v>
      </c>
      <c r="E70">
        <v>0.2336</v>
      </c>
      <c r="F70">
        <v>5.1799999999999999E-2</v>
      </c>
      <c r="G70">
        <v>0.27700000000000002</v>
      </c>
      <c r="H70">
        <v>2150821422</v>
      </c>
      <c r="I70">
        <v>0</v>
      </c>
      <c r="Q70" t="s">
        <v>9</v>
      </c>
    </row>
    <row r="71" spans="1:17" x14ac:dyDescent="0.25">
      <c r="A71" s="1">
        <v>45651</v>
      </c>
      <c r="B71">
        <v>3.9899999999999998E-2</v>
      </c>
      <c r="C71">
        <v>0.18</v>
      </c>
      <c r="D71">
        <v>0.14000000000000001</v>
      </c>
      <c r="E71">
        <v>0.23400000000000001</v>
      </c>
      <c r="F71">
        <v>3.9899999999999998E-2</v>
      </c>
      <c r="G71">
        <v>0.20480000000000001</v>
      </c>
      <c r="H71">
        <v>2126533435</v>
      </c>
      <c r="I71">
        <v>0</v>
      </c>
      <c r="Q71" t="s">
        <v>9</v>
      </c>
    </row>
    <row r="72" spans="1:17" x14ac:dyDescent="0.25">
      <c r="A72" s="1">
        <v>45652</v>
      </c>
      <c r="B72">
        <v>1.38E-2</v>
      </c>
      <c r="C72">
        <v>0.18</v>
      </c>
      <c r="D72">
        <v>0.13</v>
      </c>
      <c r="E72">
        <v>0.248</v>
      </c>
      <c r="F72">
        <v>1.38E-2</v>
      </c>
      <c r="G72">
        <v>6.6100000000000006E-2</v>
      </c>
      <c r="H72">
        <v>2073095785</v>
      </c>
      <c r="I72">
        <v>0</v>
      </c>
      <c r="Q72" t="s">
        <v>9</v>
      </c>
    </row>
    <row r="73" spans="1:17" x14ac:dyDescent="0.25">
      <c r="A73" s="1">
        <v>45653</v>
      </c>
      <c r="B73">
        <v>1.38E-2</v>
      </c>
      <c r="C73">
        <v>0.18</v>
      </c>
      <c r="D73">
        <v>0.13</v>
      </c>
      <c r="E73">
        <v>0.248</v>
      </c>
      <c r="F73">
        <v>1.38E-2</v>
      </c>
      <c r="G73">
        <v>6.6100000000000006E-2</v>
      </c>
      <c r="H73">
        <v>2073095785</v>
      </c>
      <c r="I73">
        <v>0</v>
      </c>
      <c r="Q73" t="s">
        <v>9</v>
      </c>
    </row>
    <row r="74" spans="1:17" x14ac:dyDescent="0.25">
      <c r="A74" s="1">
        <v>45654</v>
      </c>
      <c r="B74">
        <v>5.6899999999999999E-2</v>
      </c>
      <c r="C74">
        <v>0.18</v>
      </c>
      <c r="D74">
        <v>0.13</v>
      </c>
      <c r="E74">
        <v>0.27860000000000001</v>
      </c>
      <c r="F74">
        <v>5.6899999999999999E-2</v>
      </c>
      <c r="G74">
        <v>0.29020000000000001</v>
      </c>
      <c r="H74">
        <v>2161255393</v>
      </c>
      <c r="I74">
        <v>0</v>
      </c>
      <c r="Q74" t="s">
        <v>9</v>
      </c>
    </row>
    <row r="75" spans="1:17" x14ac:dyDescent="0.25">
      <c r="A75" s="1">
        <v>45655</v>
      </c>
      <c r="B75">
        <v>7.3700000000000002E-2</v>
      </c>
      <c r="C75">
        <v>0.18</v>
      </c>
      <c r="D75">
        <v>0.16</v>
      </c>
      <c r="E75">
        <v>0.25269999999999998</v>
      </c>
      <c r="F75">
        <v>7.3700000000000002E-2</v>
      </c>
      <c r="G75">
        <v>0.38019999999999998</v>
      </c>
      <c r="H75">
        <v>2195650904</v>
      </c>
      <c r="I75">
        <v>0</v>
      </c>
      <c r="Q75" t="s">
        <v>9</v>
      </c>
    </row>
    <row r="76" spans="1:17" x14ac:dyDescent="0.25">
      <c r="A76" s="1">
        <v>45656</v>
      </c>
      <c r="B76">
        <v>0.1104</v>
      </c>
      <c r="C76">
        <v>0.18</v>
      </c>
      <c r="D76">
        <v>0.14000000000000001</v>
      </c>
      <c r="E76">
        <v>0.28399999999999997</v>
      </c>
      <c r="F76">
        <v>0.1104</v>
      </c>
      <c r="G76">
        <v>0.53759999999999997</v>
      </c>
      <c r="H76">
        <v>4315728453</v>
      </c>
      <c r="I76">
        <v>0</v>
      </c>
      <c r="Q76" t="s">
        <v>9</v>
      </c>
    </row>
    <row r="77" spans="1:17" x14ac:dyDescent="0.25">
      <c r="A77" s="1">
        <v>45657</v>
      </c>
      <c r="B77">
        <v>7.3800000000000004E-2</v>
      </c>
      <c r="C77">
        <v>0.18</v>
      </c>
      <c r="D77">
        <v>0.13</v>
      </c>
      <c r="E77">
        <v>0.27700000000000002</v>
      </c>
      <c r="F77">
        <v>7.3800000000000004E-2</v>
      </c>
      <c r="G77">
        <v>0.36059999999999998</v>
      </c>
      <c r="H77">
        <v>2195925577</v>
      </c>
      <c r="I77">
        <v>0</v>
      </c>
      <c r="Q77" t="s">
        <v>9</v>
      </c>
    </row>
    <row r="78" spans="1:17" x14ac:dyDescent="0.25">
      <c r="A78" s="1">
        <v>45658</v>
      </c>
      <c r="B78">
        <v>8.6199999999999999E-2</v>
      </c>
      <c r="C78">
        <v>0.28000000000000003</v>
      </c>
      <c r="D78">
        <v>0.14000000000000001</v>
      </c>
      <c r="E78">
        <v>0.27860000000000001</v>
      </c>
      <c r="F78">
        <v>8.6199999999999999E-2</v>
      </c>
      <c r="G78">
        <v>0.42170000000000002</v>
      </c>
      <c r="H78">
        <v>2221129630</v>
      </c>
      <c r="I78">
        <v>0</v>
      </c>
      <c r="Q78" t="s">
        <v>9</v>
      </c>
    </row>
    <row r="79" spans="1:17" x14ac:dyDescent="0.25">
      <c r="A79" s="1">
        <v>45659</v>
      </c>
      <c r="B79">
        <v>0.10009999999999999</v>
      </c>
      <c r="C79">
        <v>0.28000000000000003</v>
      </c>
      <c r="D79">
        <v>0.14000000000000001</v>
      </c>
      <c r="E79">
        <v>0.26529999999999998</v>
      </c>
      <c r="F79">
        <v>0.10009999999999999</v>
      </c>
      <c r="G79">
        <v>0.49220000000000003</v>
      </c>
      <c r="H79">
        <v>2249712086</v>
      </c>
      <c r="I79">
        <v>0</v>
      </c>
      <c r="Q79" t="s">
        <v>9</v>
      </c>
    </row>
    <row r="80" spans="1:17" x14ac:dyDescent="0.25">
      <c r="A80" s="1">
        <v>45660</v>
      </c>
      <c r="B80">
        <v>0.10009999999999999</v>
      </c>
      <c r="C80">
        <v>0.28000000000000003</v>
      </c>
      <c r="D80">
        <v>0.14000000000000001</v>
      </c>
      <c r="E80">
        <v>0.26529999999999998</v>
      </c>
      <c r="F80">
        <v>0.10009999999999999</v>
      </c>
      <c r="G80">
        <v>0.49220000000000003</v>
      </c>
      <c r="H80">
        <v>2249712086</v>
      </c>
      <c r="I80">
        <v>0</v>
      </c>
      <c r="Q80" t="s">
        <v>9</v>
      </c>
    </row>
    <row r="81" spans="1:17" x14ac:dyDescent="0.25">
      <c r="A81" s="1">
        <v>45661</v>
      </c>
      <c r="B81">
        <v>0.11899999999999999</v>
      </c>
      <c r="C81">
        <v>0.32</v>
      </c>
      <c r="D81">
        <v>0.14000000000000001</v>
      </c>
      <c r="E81">
        <v>0.25740000000000002</v>
      </c>
      <c r="F81">
        <v>0.11899999999999999</v>
      </c>
      <c r="G81">
        <v>0.59119999999999995</v>
      </c>
      <c r="H81">
        <v>2288230255</v>
      </c>
      <c r="I81">
        <v>0</v>
      </c>
      <c r="Q81" t="s">
        <v>9</v>
      </c>
    </row>
    <row r="82" spans="1:17" x14ac:dyDescent="0.25">
      <c r="A82" s="1">
        <v>45662</v>
      </c>
      <c r="B82">
        <v>0.11360000000000001</v>
      </c>
      <c r="C82">
        <v>0.32</v>
      </c>
      <c r="D82">
        <v>0.13</v>
      </c>
      <c r="E82">
        <v>0.24879999999999999</v>
      </c>
      <c r="F82">
        <v>0.11360000000000001</v>
      </c>
      <c r="G82">
        <v>0.54979999999999996</v>
      </c>
      <c r="H82">
        <v>2277212036</v>
      </c>
      <c r="I82">
        <v>0</v>
      </c>
      <c r="Q82" t="s">
        <v>9</v>
      </c>
    </row>
    <row r="83" spans="1:17" x14ac:dyDescent="0.25">
      <c r="A83" s="1">
        <v>45663</v>
      </c>
      <c r="B83">
        <v>0.1084</v>
      </c>
      <c r="C83">
        <v>0.31</v>
      </c>
      <c r="D83">
        <v>0.13</v>
      </c>
      <c r="E83">
        <v>0.25509999999999999</v>
      </c>
      <c r="F83">
        <v>0.1084</v>
      </c>
      <c r="G83">
        <v>0.51170000000000004</v>
      </c>
      <c r="H83">
        <v>2266676300</v>
      </c>
      <c r="I83">
        <v>0</v>
      </c>
      <c r="Q83" t="s">
        <v>9</v>
      </c>
    </row>
    <row r="84" spans="1:17" x14ac:dyDescent="0.25">
      <c r="A84" s="1">
        <v>45664</v>
      </c>
      <c r="B84">
        <v>8.1000000000000003E-2</v>
      </c>
      <c r="C84">
        <v>0.33</v>
      </c>
      <c r="D84">
        <v>0.12</v>
      </c>
      <c r="E84">
        <v>0.25669999999999998</v>
      </c>
      <c r="F84">
        <v>8.1000000000000003E-2</v>
      </c>
      <c r="G84">
        <v>0.36109999999999998</v>
      </c>
      <c r="H84">
        <v>2210603304</v>
      </c>
      <c r="I84">
        <v>0</v>
      </c>
      <c r="Q84" t="s">
        <v>9</v>
      </c>
    </row>
    <row r="85" spans="1:17" x14ac:dyDescent="0.25">
      <c r="A85" s="1">
        <v>45665</v>
      </c>
      <c r="B85">
        <v>6.4799999999999996E-2</v>
      </c>
      <c r="C85">
        <v>0.34</v>
      </c>
      <c r="D85">
        <v>0.14000000000000001</v>
      </c>
      <c r="E85">
        <v>0.26369999999999999</v>
      </c>
      <c r="F85">
        <v>6.4799999999999996E-2</v>
      </c>
      <c r="G85">
        <v>0.27779999999999999</v>
      </c>
      <c r="H85">
        <v>2177503480</v>
      </c>
      <c r="I85">
        <v>0</v>
      </c>
      <c r="Q85" t="s">
        <v>9</v>
      </c>
    </row>
    <row r="86" spans="1:17" x14ac:dyDescent="0.25">
      <c r="A86" s="1">
        <v>45666</v>
      </c>
      <c r="B86">
        <v>3.1600000000000003E-2</v>
      </c>
      <c r="C86">
        <v>0.34</v>
      </c>
      <c r="D86">
        <v>0.15</v>
      </c>
      <c r="E86">
        <v>0.28010000000000002</v>
      </c>
      <c r="F86">
        <v>3.1600000000000003E-2</v>
      </c>
      <c r="G86">
        <v>0.12709999999999999</v>
      </c>
      <c r="H86">
        <v>2109523266</v>
      </c>
      <c r="I86">
        <v>0</v>
      </c>
      <c r="Q86" t="s">
        <v>9</v>
      </c>
    </row>
    <row r="87" spans="1:17" x14ac:dyDescent="0.25">
      <c r="A87" s="1">
        <v>45667</v>
      </c>
      <c r="B87">
        <v>3.1600000000000003E-2</v>
      </c>
      <c r="C87">
        <v>0.34</v>
      </c>
      <c r="D87">
        <v>0.15</v>
      </c>
      <c r="E87">
        <v>0.28010000000000002</v>
      </c>
      <c r="F87">
        <v>3.1600000000000003E-2</v>
      </c>
      <c r="G87">
        <v>0.12709999999999999</v>
      </c>
      <c r="H87">
        <v>2109523266</v>
      </c>
      <c r="I87">
        <v>0</v>
      </c>
      <c r="Q87" t="s">
        <v>9</v>
      </c>
    </row>
    <row r="88" spans="1:17" x14ac:dyDescent="0.25">
      <c r="A88" s="1">
        <v>45668</v>
      </c>
      <c r="B88">
        <v>0.05</v>
      </c>
      <c r="C88">
        <v>0.33</v>
      </c>
      <c r="D88">
        <v>0.15</v>
      </c>
      <c r="E88">
        <v>0.28560000000000002</v>
      </c>
      <c r="F88">
        <v>0.05</v>
      </c>
      <c r="G88">
        <v>0.20349999999999999</v>
      </c>
      <c r="H88">
        <v>2147197946</v>
      </c>
      <c r="I88">
        <v>0</v>
      </c>
      <c r="Q88" t="s">
        <v>9</v>
      </c>
    </row>
    <row r="89" spans="1:17" x14ac:dyDescent="0.25">
      <c r="A89" s="1">
        <v>45669</v>
      </c>
      <c r="B89">
        <v>8.4599999999999995E-2</v>
      </c>
      <c r="C89">
        <v>0.3</v>
      </c>
      <c r="D89">
        <v>0.19</v>
      </c>
      <c r="E89">
        <v>0.26840000000000003</v>
      </c>
      <c r="F89">
        <v>8.4599999999999995E-2</v>
      </c>
      <c r="G89">
        <v>0.35570000000000002</v>
      </c>
      <c r="H89">
        <v>2217992469</v>
      </c>
      <c r="I89">
        <v>0</v>
      </c>
      <c r="Q89" t="s">
        <v>9</v>
      </c>
    </row>
    <row r="90" spans="1:17" x14ac:dyDescent="0.25">
      <c r="A90" s="1">
        <v>45670</v>
      </c>
      <c r="B90">
        <v>8.0699999999999994E-2</v>
      </c>
      <c r="C90">
        <v>0.31</v>
      </c>
      <c r="D90">
        <v>0.18</v>
      </c>
      <c r="E90">
        <v>0.2762</v>
      </c>
      <c r="F90">
        <v>8.0699999999999994E-2</v>
      </c>
      <c r="G90">
        <v>0.33250000000000002</v>
      </c>
      <c r="H90">
        <v>2210054780</v>
      </c>
      <c r="I90">
        <v>0</v>
      </c>
      <c r="Q90" t="s">
        <v>9</v>
      </c>
    </row>
    <row r="91" spans="1:17" x14ac:dyDescent="0.25">
      <c r="A91" s="1">
        <v>45671</v>
      </c>
      <c r="B91">
        <v>8.0699999999999994E-2</v>
      </c>
      <c r="C91">
        <v>0.31</v>
      </c>
      <c r="D91">
        <v>0.19</v>
      </c>
      <c r="E91">
        <v>0.27929999999999999</v>
      </c>
      <c r="F91">
        <v>8.0699999999999994E-2</v>
      </c>
      <c r="G91">
        <v>0.33250000000000002</v>
      </c>
      <c r="H91">
        <v>2210054780</v>
      </c>
      <c r="I91">
        <v>0</v>
      </c>
      <c r="Q91" t="s">
        <v>9</v>
      </c>
    </row>
    <row r="92" spans="1:17" x14ac:dyDescent="0.25">
      <c r="A92" s="1">
        <v>45672</v>
      </c>
      <c r="B92">
        <v>7.8399999999999997E-2</v>
      </c>
      <c r="C92">
        <v>0.31</v>
      </c>
      <c r="D92">
        <v>0.19</v>
      </c>
      <c r="E92">
        <v>0.26369999999999999</v>
      </c>
      <c r="F92">
        <v>7.8399999999999997E-2</v>
      </c>
      <c r="G92">
        <v>0.31709999999999999</v>
      </c>
      <c r="H92">
        <v>2205266571</v>
      </c>
      <c r="I92">
        <v>0</v>
      </c>
      <c r="Q92" t="s">
        <v>9</v>
      </c>
    </row>
    <row r="93" spans="1:17" x14ac:dyDescent="0.25">
      <c r="A93" s="1">
        <v>45673</v>
      </c>
      <c r="B93">
        <v>9.2799999999999994E-2</v>
      </c>
      <c r="C93">
        <v>0.31</v>
      </c>
      <c r="D93">
        <v>0.18</v>
      </c>
      <c r="E93">
        <v>0.26019999999999999</v>
      </c>
      <c r="F93">
        <v>9.2799999999999994E-2</v>
      </c>
      <c r="G93">
        <v>0.37669999999999998</v>
      </c>
      <c r="H93">
        <v>2234713731</v>
      </c>
      <c r="I93">
        <v>0</v>
      </c>
      <c r="Q93" t="s">
        <v>9</v>
      </c>
    </row>
    <row r="94" spans="1:17" x14ac:dyDescent="0.25">
      <c r="A94" s="1">
        <v>45674</v>
      </c>
      <c r="B94">
        <v>9.2799999999999994E-2</v>
      </c>
      <c r="C94">
        <v>0.31</v>
      </c>
      <c r="D94">
        <v>0.18</v>
      </c>
      <c r="E94">
        <v>0.26019999999999999</v>
      </c>
      <c r="F94">
        <v>9.2799999999999994E-2</v>
      </c>
      <c r="G94">
        <v>0.37669999999999998</v>
      </c>
      <c r="H94">
        <v>2234713731</v>
      </c>
      <c r="I94">
        <v>0</v>
      </c>
      <c r="Q94" t="s">
        <v>9</v>
      </c>
    </row>
    <row r="95" spans="1:17" x14ac:dyDescent="0.25">
      <c r="A95" s="1">
        <v>45675</v>
      </c>
      <c r="B95">
        <v>7.1300000000000002E-2</v>
      </c>
      <c r="C95">
        <v>0.28000000000000003</v>
      </c>
      <c r="D95">
        <v>0.18</v>
      </c>
      <c r="E95">
        <v>0.26840000000000003</v>
      </c>
      <c r="F95">
        <v>7.1300000000000002E-2</v>
      </c>
      <c r="G95">
        <v>0.27739999999999998</v>
      </c>
      <c r="H95">
        <v>2190685340</v>
      </c>
      <c r="I95">
        <v>0</v>
      </c>
      <c r="Q95" t="s">
        <v>9</v>
      </c>
    </row>
    <row r="96" spans="1:17" x14ac:dyDescent="0.25">
      <c r="A96" s="1">
        <v>45676</v>
      </c>
      <c r="B96">
        <v>7.8100000000000003E-2</v>
      </c>
      <c r="C96">
        <v>0.28000000000000003</v>
      </c>
      <c r="D96">
        <v>0.18</v>
      </c>
      <c r="E96">
        <v>0.26840000000000003</v>
      </c>
      <c r="F96">
        <v>7.8100000000000003E-2</v>
      </c>
      <c r="G96">
        <v>0.30220000000000002</v>
      </c>
      <c r="H96">
        <v>2204597939</v>
      </c>
      <c r="I96">
        <v>0</v>
      </c>
      <c r="Q96" t="s">
        <v>9</v>
      </c>
    </row>
    <row r="97" spans="1:17" x14ac:dyDescent="0.25">
      <c r="A97" s="1">
        <v>45677</v>
      </c>
      <c r="B97">
        <v>8.4000000000000005E-2</v>
      </c>
      <c r="C97">
        <v>0.27</v>
      </c>
      <c r="D97">
        <v>0.18</v>
      </c>
      <c r="E97">
        <v>0.27310000000000001</v>
      </c>
      <c r="F97">
        <v>8.4000000000000005E-2</v>
      </c>
      <c r="G97">
        <v>0.32300000000000001</v>
      </c>
      <c r="H97">
        <v>2216764705</v>
      </c>
      <c r="I97">
        <v>0</v>
      </c>
      <c r="Q97" t="s">
        <v>9</v>
      </c>
    </row>
    <row r="98" spans="1:17" x14ac:dyDescent="0.25">
      <c r="A98" s="1">
        <v>45678</v>
      </c>
      <c r="B98">
        <v>7.46E-2</v>
      </c>
      <c r="C98">
        <v>0.27</v>
      </c>
      <c r="D98">
        <v>0.19</v>
      </c>
      <c r="E98">
        <v>0.29580000000000001</v>
      </c>
      <c r="F98">
        <v>7.46E-2</v>
      </c>
      <c r="G98">
        <v>0.27939999999999998</v>
      </c>
      <c r="H98">
        <v>2197419048</v>
      </c>
      <c r="I98">
        <v>0</v>
      </c>
      <c r="Q98" t="s">
        <v>9</v>
      </c>
    </row>
    <row r="99" spans="1:17" x14ac:dyDescent="0.25">
      <c r="A99" s="1">
        <v>45679</v>
      </c>
      <c r="B99">
        <v>8.9700000000000002E-2</v>
      </c>
      <c r="C99">
        <v>0.31</v>
      </c>
      <c r="D99">
        <v>0.21</v>
      </c>
      <c r="E99">
        <v>0.29730000000000001</v>
      </c>
      <c r="F99">
        <v>8.9700000000000002E-2</v>
      </c>
      <c r="G99">
        <v>0.3377</v>
      </c>
      <c r="H99">
        <v>2228470376</v>
      </c>
      <c r="I99">
        <v>0</v>
      </c>
      <c r="Q99" t="s">
        <v>9</v>
      </c>
    </row>
    <row r="100" spans="1:17" x14ac:dyDescent="0.25">
      <c r="A100" s="1">
        <v>45680</v>
      </c>
      <c r="B100">
        <v>7.5899999999999995E-2</v>
      </c>
      <c r="C100">
        <v>0.31</v>
      </c>
      <c r="D100">
        <v>0.24</v>
      </c>
      <c r="E100">
        <v>0.31530000000000002</v>
      </c>
      <c r="F100">
        <v>7.5899999999999995E-2</v>
      </c>
      <c r="G100">
        <v>0.27710000000000001</v>
      </c>
      <c r="H100">
        <v>2200063975</v>
      </c>
      <c r="I100">
        <v>0</v>
      </c>
      <c r="Q100" t="s">
        <v>9</v>
      </c>
    </row>
    <row r="101" spans="1:17" x14ac:dyDescent="0.25">
      <c r="A101" s="1">
        <v>45681</v>
      </c>
      <c r="B101">
        <v>7.5899999999999995E-2</v>
      </c>
      <c r="C101">
        <v>0.31</v>
      </c>
      <c r="D101">
        <v>0.24</v>
      </c>
      <c r="E101">
        <v>0.31530000000000002</v>
      </c>
      <c r="F101">
        <v>7.5899999999999995E-2</v>
      </c>
      <c r="G101">
        <v>0.27710000000000001</v>
      </c>
      <c r="H101">
        <v>2200063975</v>
      </c>
      <c r="I101">
        <v>0</v>
      </c>
      <c r="Q101" t="s">
        <v>9</v>
      </c>
    </row>
    <row r="102" spans="1:17" x14ac:dyDescent="0.25">
      <c r="A102" s="1">
        <v>45682</v>
      </c>
      <c r="B102">
        <v>0.13070000000000001</v>
      </c>
      <c r="C102">
        <v>0.31</v>
      </c>
      <c r="D102">
        <v>0.24</v>
      </c>
      <c r="E102">
        <v>0.31459999999999999</v>
      </c>
      <c r="F102">
        <v>0.13070000000000001</v>
      </c>
      <c r="G102">
        <v>0.50109999999999999</v>
      </c>
      <c r="H102">
        <v>2312325625</v>
      </c>
      <c r="I102">
        <v>0</v>
      </c>
      <c r="Q102" t="s">
        <v>9</v>
      </c>
    </row>
    <row r="103" spans="1:17" x14ac:dyDescent="0.25">
      <c r="A103" s="1">
        <v>45683</v>
      </c>
      <c r="B103">
        <v>0.1288</v>
      </c>
      <c r="C103">
        <v>0.28999999999999998</v>
      </c>
      <c r="D103">
        <v>0.26</v>
      </c>
      <c r="E103">
        <v>0.31850000000000001</v>
      </c>
      <c r="F103">
        <v>0.1288</v>
      </c>
      <c r="G103">
        <v>0.48580000000000001</v>
      </c>
      <c r="H103">
        <v>2308380733</v>
      </c>
      <c r="I103">
        <v>0</v>
      </c>
      <c r="Q103" t="s">
        <v>9</v>
      </c>
    </row>
    <row r="104" spans="1:17" x14ac:dyDescent="0.25">
      <c r="A104" s="1">
        <v>45684</v>
      </c>
      <c r="B104">
        <v>0.12870000000000001</v>
      </c>
      <c r="C104">
        <v>0.28999999999999998</v>
      </c>
      <c r="D104">
        <v>0.27</v>
      </c>
      <c r="E104">
        <v>0.32</v>
      </c>
      <c r="F104">
        <v>0.12870000000000001</v>
      </c>
      <c r="G104">
        <v>0.47839999999999999</v>
      </c>
      <c r="H104">
        <v>2308101510</v>
      </c>
      <c r="I104">
        <v>0</v>
      </c>
      <c r="Q104" t="s">
        <v>9</v>
      </c>
    </row>
    <row r="105" spans="1:17" x14ac:dyDescent="0.25">
      <c r="A105" s="1">
        <v>45685</v>
      </c>
      <c r="B105">
        <v>0.12870000000000001</v>
      </c>
      <c r="C105">
        <v>0.28999999999999998</v>
      </c>
      <c r="D105">
        <v>0.26</v>
      </c>
      <c r="E105">
        <v>0.3216</v>
      </c>
      <c r="F105">
        <v>0.12870000000000001</v>
      </c>
      <c r="G105">
        <v>0.47839999999999999</v>
      </c>
      <c r="H105">
        <v>2308101510</v>
      </c>
      <c r="I105">
        <v>0</v>
      </c>
      <c r="Q105" t="s">
        <v>9</v>
      </c>
    </row>
    <row r="106" spans="1:17" x14ac:dyDescent="0.25">
      <c r="A106" s="1">
        <v>45686</v>
      </c>
      <c r="B106">
        <v>0.1588</v>
      </c>
      <c r="C106">
        <v>0.28999999999999998</v>
      </c>
      <c r="D106">
        <v>0.26</v>
      </c>
      <c r="E106">
        <v>0.30909999999999999</v>
      </c>
      <c r="F106">
        <v>0.1588</v>
      </c>
      <c r="G106">
        <v>0.60089999999999999</v>
      </c>
      <c r="H106">
        <v>2369646573</v>
      </c>
      <c r="I106">
        <v>0</v>
      </c>
      <c r="Q106" t="s">
        <v>9</v>
      </c>
    </row>
    <row r="107" spans="1:17" x14ac:dyDescent="0.25">
      <c r="A107" s="1">
        <v>45687</v>
      </c>
      <c r="B107">
        <v>0.1497</v>
      </c>
      <c r="C107">
        <v>0.28999999999999998</v>
      </c>
      <c r="D107">
        <v>0.25</v>
      </c>
      <c r="E107">
        <v>0.31380000000000002</v>
      </c>
      <c r="F107">
        <v>0.1497</v>
      </c>
      <c r="G107">
        <v>0.55320000000000003</v>
      </c>
      <c r="H107">
        <v>2350986656</v>
      </c>
      <c r="I107">
        <v>0</v>
      </c>
      <c r="Q107" t="s">
        <v>9</v>
      </c>
    </row>
    <row r="108" spans="1:17" x14ac:dyDescent="0.25">
      <c r="A108" s="1">
        <v>45688</v>
      </c>
      <c r="B108">
        <v>0.1497</v>
      </c>
      <c r="C108">
        <v>0.28999999999999998</v>
      </c>
      <c r="D108">
        <v>0.25</v>
      </c>
      <c r="E108">
        <v>0.31380000000000002</v>
      </c>
      <c r="F108">
        <v>0.1497</v>
      </c>
      <c r="G108">
        <v>0.55320000000000003</v>
      </c>
      <c r="H108">
        <v>2350986656</v>
      </c>
      <c r="I108">
        <v>0</v>
      </c>
      <c r="Q108" t="s">
        <v>9</v>
      </c>
    </row>
    <row r="109" spans="1:17" x14ac:dyDescent="0.25">
      <c r="A109" s="1">
        <v>45689</v>
      </c>
      <c r="B109">
        <v>0.14610000000000001</v>
      </c>
      <c r="C109">
        <v>0.27</v>
      </c>
      <c r="D109">
        <v>0.25</v>
      </c>
      <c r="E109">
        <v>0.31890000000000002</v>
      </c>
      <c r="F109">
        <v>0.14610000000000001</v>
      </c>
      <c r="G109">
        <v>0.53059999999999996</v>
      </c>
      <c r="H109">
        <v>2343648135</v>
      </c>
      <c r="I109">
        <v>0</v>
      </c>
      <c r="Q109" t="s">
        <v>9</v>
      </c>
    </row>
    <row r="110" spans="1:17" x14ac:dyDescent="0.25">
      <c r="A110" s="1">
        <v>45690</v>
      </c>
      <c r="B110">
        <v>0.1361</v>
      </c>
      <c r="C110">
        <v>0.28000000000000003</v>
      </c>
      <c r="D110">
        <v>0.28000000000000003</v>
      </c>
      <c r="E110">
        <v>0.32079999999999997</v>
      </c>
      <c r="F110">
        <v>0.1361</v>
      </c>
      <c r="G110">
        <v>0.48299999999999998</v>
      </c>
      <c r="H110">
        <v>2323290120</v>
      </c>
      <c r="I110">
        <v>0</v>
      </c>
      <c r="Q110" t="s">
        <v>9</v>
      </c>
    </row>
    <row r="111" spans="1:17" x14ac:dyDescent="0.25">
      <c r="A111" s="1">
        <v>45691</v>
      </c>
      <c r="B111">
        <v>0.14530000000000001</v>
      </c>
      <c r="C111">
        <v>0.28999999999999998</v>
      </c>
      <c r="D111">
        <v>0.3</v>
      </c>
      <c r="E111">
        <v>0.318</v>
      </c>
      <c r="F111">
        <v>0.14530000000000001</v>
      </c>
      <c r="G111">
        <v>0.51329999999999998</v>
      </c>
      <c r="H111">
        <v>2342017961</v>
      </c>
      <c r="I111">
        <v>0</v>
      </c>
      <c r="Q111" t="s">
        <v>9</v>
      </c>
    </row>
    <row r="112" spans="1:17" x14ac:dyDescent="0.25">
      <c r="A112" s="1">
        <v>45692</v>
      </c>
      <c r="B112">
        <v>0.13519999999999999</v>
      </c>
      <c r="C112">
        <v>0.31</v>
      </c>
      <c r="D112">
        <v>0.3</v>
      </c>
      <c r="E112">
        <v>0.32940000000000003</v>
      </c>
      <c r="F112">
        <v>0.13519999999999999</v>
      </c>
      <c r="G112">
        <v>0.46689999999999998</v>
      </c>
      <c r="H112">
        <v>2321400911</v>
      </c>
      <c r="I112">
        <v>0</v>
      </c>
      <c r="Q112" t="s">
        <v>9</v>
      </c>
    </row>
    <row r="113" spans="1:17" x14ac:dyDescent="0.25">
      <c r="A113" s="1">
        <v>45693</v>
      </c>
      <c r="B113">
        <v>0.16289999999999999</v>
      </c>
      <c r="C113">
        <v>0.3</v>
      </c>
      <c r="D113">
        <v>0.3</v>
      </c>
      <c r="E113">
        <v>0.34189999999999998</v>
      </c>
      <c r="F113">
        <v>0.16289999999999999</v>
      </c>
      <c r="G113">
        <v>0.57010000000000005</v>
      </c>
      <c r="H113">
        <v>2378063151</v>
      </c>
      <c r="I113">
        <v>0</v>
      </c>
      <c r="Q113" t="s">
        <v>9</v>
      </c>
    </row>
    <row r="114" spans="1:17" x14ac:dyDescent="0.25">
      <c r="A114" s="1">
        <v>45694</v>
      </c>
      <c r="B114">
        <v>0.14949999999999999</v>
      </c>
      <c r="C114">
        <v>0.3</v>
      </c>
      <c r="D114">
        <v>0.35</v>
      </c>
      <c r="E114">
        <v>0.34739999999999999</v>
      </c>
      <c r="F114">
        <v>0.14949999999999999</v>
      </c>
      <c r="G114">
        <v>0.50990000000000002</v>
      </c>
      <c r="H114">
        <v>2350634547</v>
      </c>
      <c r="I114">
        <v>0</v>
      </c>
      <c r="Q114" t="s">
        <v>9</v>
      </c>
    </row>
    <row r="115" spans="1:17" x14ac:dyDescent="0.25">
      <c r="A115" s="1">
        <v>45695</v>
      </c>
      <c r="B115">
        <v>0.14949999999999999</v>
      </c>
      <c r="C115">
        <v>0.3</v>
      </c>
      <c r="D115">
        <v>0.35</v>
      </c>
      <c r="E115">
        <v>0.34739999999999999</v>
      </c>
      <c r="F115">
        <v>0.14949999999999999</v>
      </c>
      <c r="G115">
        <v>0.50990000000000002</v>
      </c>
      <c r="H115">
        <v>2350634547</v>
      </c>
      <c r="I115">
        <v>0</v>
      </c>
      <c r="Q115" t="s">
        <v>9</v>
      </c>
    </row>
    <row r="116" spans="1:17" x14ac:dyDescent="0.25">
      <c r="A116" s="1">
        <v>45696</v>
      </c>
      <c r="B116">
        <v>0.14949999999999999</v>
      </c>
      <c r="C116">
        <v>0.3</v>
      </c>
      <c r="D116">
        <v>0.35</v>
      </c>
      <c r="E116">
        <v>0.40300000000000002</v>
      </c>
      <c r="F116">
        <v>0.14949999999999999</v>
      </c>
      <c r="G116">
        <v>0.50990000000000002</v>
      </c>
      <c r="H116">
        <v>2350634547</v>
      </c>
      <c r="I116">
        <v>0</v>
      </c>
      <c r="Q116" t="s">
        <v>9</v>
      </c>
    </row>
    <row r="117" spans="1:17" x14ac:dyDescent="0.25">
      <c r="A117" s="1">
        <v>45697</v>
      </c>
      <c r="B117">
        <v>0.19819999999999999</v>
      </c>
      <c r="C117">
        <v>0.33</v>
      </c>
      <c r="D117">
        <v>0.35</v>
      </c>
      <c r="E117">
        <v>0.4531</v>
      </c>
      <c r="F117">
        <v>0.19819999999999999</v>
      </c>
      <c r="G117">
        <v>0.69779999999999998</v>
      </c>
      <c r="H117">
        <v>2450311622</v>
      </c>
      <c r="I117">
        <v>0</v>
      </c>
      <c r="Q117" t="s">
        <v>9</v>
      </c>
    </row>
    <row r="118" spans="1:17" x14ac:dyDescent="0.25">
      <c r="A118" s="1">
        <v>45698</v>
      </c>
      <c r="B118">
        <v>0.19819999999999999</v>
      </c>
      <c r="C118">
        <v>0.33</v>
      </c>
      <c r="D118">
        <v>0.47</v>
      </c>
      <c r="E118">
        <v>0.44290000000000002</v>
      </c>
      <c r="F118">
        <v>0.19819999999999999</v>
      </c>
      <c r="G118">
        <v>0.69779999999999998</v>
      </c>
      <c r="H118">
        <v>2450311622</v>
      </c>
      <c r="I118">
        <v>0</v>
      </c>
      <c r="Q118" t="s">
        <v>9</v>
      </c>
    </row>
    <row r="119" spans="1:17" x14ac:dyDescent="0.25">
      <c r="A119" s="1">
        <v>45699</v>
      </c>
      <c r="B119">
        <v>0.1275</v>
      </c>
      <c r="C119">
        <v>0.33</v>
      </c>
      <c r="D119">
        <v>0.47</v>
      </c>
      <c r="E119">
        <v>0.39829999999999999</v>
      </c>
      <c r="F119">
        <v>0.1275</v>
      </c>
      <c r="G119">
        <v>0.41560000000000002</v>
      </c>
      <c r="H119">
        <v>2305635581</v>
      </c>
      <c r="I119">
        <v>0</v>
      </c>
      <c r="Q119" t="s">
        <v>9</v>
      </c>
    </row>
    <row r="120" spans="1:17" x14ac:dyDescent="0.25">
      <c r="A120" s="1">
        <v>45700</v>
      </c>
      <c r="B120">
        <v>0.1275</v>
      </c>
      <c r="C120">
        <v>0.33</v>
      </c>
      <c r="D120">
        <v>0.45</v>
      </c>
      <c r="E120">
        <v>0.39589999999999997</v>
      </c>
      <c r="F120">
        <v>0.1275</v>
      </c>
      <c r="G120">
        <v>0.41560000000000002</v>
      </c>
      <c r="H120">
        <v>2305635581</v>
      </c>
      <c r="I120">
        <v>0</v>
      </c>
      <c r="Q120" t="s">
        <v>9</v>
      </c>
    </row>
    <row r="121" spans="1:17" x14ac:dyDescent="0.25">
      <c r="A121" s="1">
        <v>45701</v>
      </c>
      <c r="B121">
        <v>0.121</v>
      </c>
      <c r="C121">
        <v>0.33</v>
      </c>
      <c r="D121">
        <v>0.45</v>
      </c>
      <c r="E121">
        <v>0.40920000000000001</v>
      </c>
      <c r="F121">
        <v>0.121</v>
      </c>
      <c r="G121">
        <v>0.3876</v>
      </c>
      <c r="H121">
        <v>2292450065</v>
      </c>
      <c r="I121">
        <v>0</v>
      </c>
      <c r="Q121" t="s">
        <v>9</v>
      </c>
    </row>
    <row r="122" spans="1:17" x14ac:dyDescent="0.25">
      <c r="A122" s="1">
        <v>45702</v>
      </c>
      <c r="B122">
        <v>0.121</v>
      </c>
      <c r="C122">
        <v>0.33</v>
      </c>
      <c r="D122">
        <v>0.45</v>
      </c>
      <c r="E122">
        <v>0.40920000000000001</v>
      </c>
      <c r="F122">
        <v>0.121</v>
      </c>
      <c r="G122">
        <v>0.3876</v>
      </c>
      <c r="H122">
        <v>2292450065</v>
      </c>
      <c r="I122">
        <v>0</v>
      </c>
      <c r="Q122" t="s">
        <v>9</v>
      </c>
    </row>
    <row r="123" spans="1:17" x14ac:dyDescent="0.25">
      <c r="A123" s="1">
        <v>45703</v>
      </c>
      <c r="B123">
        <v>0.13750000000000001</v>
      </c>
      <c r="C123">
        <v>0.33</v>
      </c>
      <c r="D123">
        <v>0.45</v>
      </c>
      <c r="E123">
        <v>0.42959999999999998</v>
      </c>
      <c r="F123">
        <v>0.13750000000000001</v>
      </c>
      <c r="G123">
        <v>0.44159999999999999</v>
      </c>
      <c r="H123">
        <v>2326201378</v>
      </c>
      <c r="I123">
        <v>0</v>
      </c>
      <c r="Q123" t="s">
        <v>9</v>
      </c>
    </row>
    <row r="124" spans="1:17" x14ac:dyDescent="0.25">
      <c r="A124" s="1">
        <v>45704</v>
      </c>
      <c r="B124">
        <v>0.12039999999999999</v>
      </c>
      <c r="C124">
        <v>0.31</v>
      </c>
      <c r="D124">
        <v>0.47</v>
      </c>
      <c r="E124">
        <v>0.42880000000000001</v>
      </c>
      <c r="F124">
        <v>0.12039999999999999</v>
      </c>
      <c r="G124">
        <v>0.3765</v>
      </c>
      <c r="H124">
        <v>2291235661</v>
      </c>
      <c r="I124">
        <v>0</v>
      </c>
      <c r="Q124" t="s">
        <v>9</v>
      </c>
    </row>
    <row r="125" spans="1:17" x14ac:dyDescent="0.25">
      <c r="A125" s="1">
        <v>45705</v>
      </c>
      <c r="B125">
        <v>0.14119999999999999</v>
      </c>
      <c r="C125">
        <v>0.33</v>
      </c>
      <c r="D125">
        <v>0.47</v>
      </c>
      <c r="E125">
        <v>0.43109999999999998</v>
      </c>
      <c r="F125">
        <v>0.14119999999999999</v>
      </c>
      <c r="G125">
        <v>0.44419999999999998</v>
      </c>
      <c r="H125">
        <v>2333758350</v>
      </c>
      <c r="I125">
        <v>0</v>
      </c>
      <c r="Q125" t="s">
        <v>9</v>
      </c>
    </row>
    <row r="126" spans="1:17" x14ac:dyDescent="0.25">
      <c r="A126" s="1">
        <v>45706</v>
      </c>
      <c r="B126">
        <v>0.14299999999999999</v>
      </c>
      <c r="C126">
        <v>0.34</v>
      </c>
      <c r="D126">
        <v>0.49</v>
      </c>
      <c r="E126">
        <v>0.44679999999999997</v>
      </c>
      <c r="F126">
        <v>0.14299999999999999</v>
      </c>
      <c r="G126">
        <v>0.44529999999999997</v>
      </c>
      <c r="H126">
        <v>2337455499</v>
      </c>
      <c r="I126">
        <v>0</v>
      </c>
      <c r="Q126" t="s">
        <v>9</v>
      </c>
    </row>
    <row r="127" spans="1:17" x14ac:dyDescent="0.25">
      <c r="A127" s="1">
        <v>45707</v>
      </c>
      <c r="B127">
        <v>0.14319999999999999</v>
      </c>
      <c r="C127">
        <v>0.35</v>
      </c>
      <c r="D127">
        <v>0.52</v>
      </c>
      <c r="E127">
        <v>0.45150000000000001</v>
      </c>
      <c r="F127">
        <v>0.14319999999999999</v>
      </c>
      <c r="G127">
        <v>0.44059999999999999</v>
      </c>
      <c r="H127">
        <v>2337713797</v>
      </c>
      <c r="I127">
        <v>0</v>
      </c>
      <c r="Q127" t="s">
        <v>9</v>
      </c>
    </row>
    <row r="128" spans="1:17" x14ac:dyDescent="0.25">
      <c r="A128" s="1">
        <v>45708</v>
      </c>
      <c r="B128">
        <v>9.5500000000000002E-2</v>
      </c>
      <c r="C128">
        <v>0.35</v>
      </c>
      <c r="D128">
        <v>0.59</v>
      </c>
      <c r="E128">
        <v>0.47260000000000002</v>
      </c>
      <c r="F128">
        <v>9.5500000000000002E-2</v>
      </c>
      <c r="G128">
        <v>0.27960000000000002</v>
      </c>
      <c r="H128">
        <v>2240307810</v>
      </c>
      <c r="I128">
        <v>0</v>
      </c>
      <c r="Q128" t="s">
        <v>9</v>
      </c>
    </row>
    <row r="129" spans="1:17" x14ac:dyDescent="0.25">
      <c r="A129" s="1">
        <v>45709</v>
      </c>
      <c r="B129">
        <v>9.5500000000000002E-2</v>
      </c>
      <c r="C129">
        <v>0.35</v>
      </c>
      <c r="D129">
        <v>0.59</v>
      </c>
      <c r="E129">
        <v>0.47260000000000002</v>
      </c>
      <c r="F129">
        <v>9.5500000000000002E-2</v>
      </c>
      <c r="G129">
        <v>0.27960000000000002</v>
      </c>
      <c r="H129">
        <v>2240307810</v>
      </c>
      <c r="I129">
        <v>0</v>
      </c>
      <c r="Q129" t="s">
        <v>9</v>
      </c>
    </row>
    <row r="130" spans="1:17" x14ac:dyDescent="0.25">
      <c r="A130" s="1">
        <v>45710</v>
      </c>
      <c r="B130">
        <v>0.15190000000000001</v>
      </c>
      <c r="C130">
        <v>0.35</v>
      </c>
      <c r="D130">
        <v>0.59</v>
      </c>
      <c r="E130">
        <v>0.46639999999999998</v>
      </c>
      <c r="F130">
        <v>0.15190000000000001</v>
      </c>
      <c r="G130">
        <v>0.46</v>
      </c>
      <c r="H130">
        <v>2855576933</v>
      </c>
      <c r="I130">
        <v>1000000000</v>
      </c>
      <c r="K130">
        <f>(1+B306)/(1+B130)-1</f>
        <v>0.27406892959458307</v>
      </c>
      <c r="L130">
        <v>176</v>
      </c>
      <c r="M130">
        <v>0.21593331499999999</v>
      </c>
      <c r="P130">
        <f>K130*I130-N132*I130</f>
        <v>58135614.427078843</v>
      </c>
      <c r="Q130">
        <f>L132*I130</f>
        <v>9594398.0642620996</v>
      </c>
    </row>
    <row r="131" spans="1:17" x14ac:dyDescent="0.25">
      <c r="A131" s="1">
        <v>45711</v>
      </c>
      <c r="B131">
        <v>0.12</v>
      </c>
      <c r="C131">
        <v>0.37</v>
      </c>
      <c r="D131">
        <v>0.65</v>
      </c>
      <c r="E131">
        <v>0.45900000000000002</v>
      </c>
      <c r="F131">
        <v>0.12</v>
      </c>
      <c r="G131">
        <v>0.35039999999999999</v>
      </c>
      <c r="H131">
        <v>3276507339</v>
      </c>
      <c r="I131">
        <v>0</v>
      </c>
      <c r="Q131" t="s">
        <v>9</v>
      </c>
    </row>
    <row r="132" spans="1:17" x14ac:dyDescent="0.25">
      <c r="A132" s="1">
        <v>45712</v>
      </c>
      <c r="B132">
        <v>0.1242</v>
      </c>
      <c r="C132">
        <v>0.41</v>
      </c>
      <c r="D132">
        <v>0.57999999999999996</v>
      </c>
      <c r="E132">
        <v>0.4405</v>
      </c>
      <c r="F132">
        <v>0.1242</v>
      </c>
      <c r="G132">
        <v>0.36009999999999998</v>
      </c>
      <c r="H132">
        <v>3288920125</v>
      </c>
      <c r="I132">
        <v>0</v>
      </c>
      <c r="L132">
        <f>(1+T3)^(L130/365)-1</f>
        <v>9.5943980642620996E-3</v>
      </c>
      <c r="N132">
        <f>(1+T4)^(L130/365)-1</f>
        <v>0.21593331516750425</v>
      </c>
      <c r="Q132" t="s">
        <v>9</v>
      </c>
    </row>
    <row r="133" spans="1:17" x14ac:dyDescent="0.25">
      <c r="A133" s="1">
        <v>45713</v>
      </c>
      <c r="B133">
        <v>0.1007</v>
      </c>
      <c r="C133">
        <v>0.42</v>
      </c>
      <c r="D133">
        <v>0.59</v>
      </c>
      <c r="E133">
        <v>0.4531</v>
      </c>
      <c r="F133">
        <v>0.1007</v>
      </c>
      <c r="G133">
        <v>0.28360000000000002</v>
      </c>
      <c r="H133">
        <v>3220098350</v>
      </c>
      <c r="I133">
        <v>0</v>
      </c>
      <c r="K133">
        <f>K130*0.75</f>
        <v>0.2055516971959373</v>
      </c>
      <c r="Q133" t="s">
        <v>9</v>
      </c>
    </row>
    <row r="134" spans="1:17" x14ac:dyDescent="0.25">
      <c r="A134" s="1">
        <v>45714</v>
      </c>
      <c r="B134">
        <v>0.1125</v>
      </c>
      <c r="C134">
        <v>0.41</v>
      </c>
      <c r="D134">
        <v>0.54</v>
      </c>
      <c r="E134">
        <v>0.45850000000000002</v>
      </c>
      <c r="F134">
        <v>0.1125</v>
      </c>
      <c r="G134">
        <v>0.31619999999999998</v>
      </c>
      <c r="H134">
        <v>3254447002</v>
      </c>
      <c r="I134">
        <v>0</v>
      </c>
      <c r="Q134" t="s">
        <v>9</v>
      </c>
    </row>
    <row r="135" spans="1:17" x14ac:dyDescent="0.25">
      <c r="A135" s="1">
        <v>45715</v>
      </c>
      <c r="B135">
        <v>0.12590000000000001</v>
      </c>
      <c r="C135">
        <v>0.41</v>
      </c>
      <c r="D135">
        <v>0.57999999999999996</v>
      </c>
      <c r="E135">
        <v>0.45540000000000003</v>
      </c>
      <c r="F135">
        <v>0.12590000000000001</v>
      </c>
      <c r="G135">
        <v>0.3538</v>
      </c>
      <c r="H135">
        <v>3293712896</v>
      </c>
      <c r="I135">
        <v>0</v>
      </c>
      <c r="Q135" t="s">
        <v>9</v>
      </c>
    </row>
    <row r="136" spans="1:17" x14ac:dyDescent="0.25">
      <c r="A136" s="1">
        <v>45716</v>
      </c>
      <c r="B136">
        <v>0.12590000000000001</v>
      </c>
      <c r="C136">
        <v>0.41</v>
      </c>
      <c r="D136">
        <v>0.57999999999999996</v>
      </c>
      <c r="E136">
        <v>0.45540000000000003</v>
      </c>
      <c r="F136">
        <v>0.12590000000000001</v>
      </c>
      <c r="G136">
        <v>0.3538</v>
      </c>
      <c r="H136">
        <v>3293712896</v>
      </c>
      <c r="I136">
        <v>0</v>
      </c>
      <c r="Q136" t="s">
        <v>9</v>
      </c>
    </row>
    <row r="137" spans="1:17" x14ac:dyDescent="0.25">
      <c r="A137" s="1">
        <v>45717</v>
      </c>
      <c r="B137">
        <v>0.1143</v>
      </c>
      <c r="C137">
        <v>0.41</v>
      </c>
      <c r="D137">
        <v>0.57999999999999996</v>
      </c>
      <c r="E137">
        <v>0.45069999999999999</v>
      </c>
      <c r="F137">
        <v>0.1143</v>
      </c>
      <c r="G137">
        <v>0.31509999999999999</v>
      </c>
      <c r="H137">
        <v>3259742213</v>
      </c>
      <c r="I137">
        <v>0</v>
      </c>
      <c r="Q137" t="s">
        <v>9</v>
      </c>
    </row>
    <row r="138" spans="1:17" x14ac:dyDescent="0.25">
      <c r="A138" s="1">
        <v>45718</v>
      </c>
      <c r="B138">
        <v>0.1009</v>
      </c>
      <c r="C138">
        <v>0.42</v>
      </c>
      <c r="D138">
        <v>0.51</v>
      </c>
      <c r="E138">
        <v>0.44990000000000002</v>
      </c>
      <c r="F138">
        <v>0.1009</v>
      </c>
      <c r="G138">
        <v>0.27279999999999999</v>
      </c>
      <c r="H138">
        <v>3220706191</v>
      </c>
      <c r="I138">
        <v>0</v>
      </c>
      <c r="Q138" t="s">
        <v>9</v>
      </c>
    </row>
    <row r="139" spans="1:17" x14ac:dyDescent="0.25">
      <c r="A139" s="1">
        <v>45719</v>
      </c>
      <c r="B139">
        <v>0.1027</v>
      </c>
      <c r="C139">
        <v>0.4</v>
      </c>
      <c r="D139">
        <v>0.49</v>
      </c>
      <c r="E139">
        <v>0.42959999999999998</v>
      </c>
      <c r="F139">
        <v>0.1027</v>
      </c>
      <c r="G139">
        <v>0.27510000000000001</v>
      </c>
      <c r="H139">
        <v>3225799008</v>
      </c>
      <c r="I139">
        <v>0</v>
      </c>
      <c r="Q139" t="s">
        <v>9</v>
      </c>
    </row>
    <row r="140" spans="1:17" x14ac:dyDescent="0.25">
      <c r="A140" s="1">
        <v>45720</v>
      </c>
      <c r="B140">
        <v>0.10059999999999999</v>
      </c>
      <c r="C140">
        <v>0.4</v>
      </c>
      <c r="D140">
        <v>0.46</v>
      </c>
      <c r="E140">
        <v>0.4249</v>
      </c>
      <c r="F140">
        <v>0.10059999999999999</v>
      </c>
      <c r="G140">
        <v>0.2666</v>
      </c>
      <c r="H140">
        <v>3219850673</v>
      </c>
      <c r="I140">
        <v>0</v>
      </c>
      <c r="Q140" t="s">
        <v>9</v>
      </c>
    </row>
    <row r="141" spans="1:17" x14ac:dyDescent="0.25">
      <c r="A141" s="1">
        <v>45721</v>
      </c>
      <c r="B141">
        <v>0.1163</v>
      </c>
      <c r="C141">
        <v>0.39</v>
      </c>
      <c r="D141">
        <v>0.48</v>
      </c>
      <c r="E141">
        <v>0.39279999999999998</v>
      </c>
      <c r="F141">
        <v>0.1163</v>
      </c>
      <c r="G141">
        <v>0.30840000000000001</v>
      </c>
      <c r="H141">
        <v>3265681096</v>
      </c>
      <c r="I141">
        <v>0</v>
      </c>
      <c r="Q141" t="s">
        <v>9</v>
      </c>
    </row>
    <row r="142" spans="1:17" x14ac:dyDescent="0.25">
      <c r="A142" s="1">
        <v>45722</v>
      </c>
      <c r="B142">
        <v>0.1139</v>
      </c>
      <c r="C142">
        <v>0.39</v>
      </c>
      <c r="D142">
        <v>0.45</v>
      </c>
      <c r="E142">
        <v>0.40189999999999998</v>
      </c>
      <c r="F142">
        <v>0.1139</v>
      </c>
      <c r="G142">
        <v>0.29849999999999999</v>
      </c>
      <c r="H142">
        <v>3258524993</v>
      </c>
      <c r="I142">
        <v>0</v>
      </c>
      <c r="Q142" t="s">
        <v>9</v>
      </c>
    </row>
    <row r="143" spans="1:17" x14ac:dyDescent="0.25">
      <c r="A143" s="1">
        <v>45723</v>
      </c>
      <c r="B143">
        <v>0.1139</v>
      </c>
      <c r="C143">
        <v>0.39</v>
      </c>
      <c r="D143">
        <v>0.45</v>
      </c>
      <c r="E143">
        <v>0.40189999999999998</v>
      </c>
      <c r="F143">
        <v>0.1139</v>
      </c>
      <c r="G143">
        <v>0.29849999999999999</v>
      </c>
      <c r="H143">
        <v>3258524993</v>
      </c>
      <c r="I143">
        <v>0</v>
      </c>
      <c r="Q143" t="s">
        <v>9</v>
      </c>
    </row>
    <row r="144" spans="1:17" x14ac:dyDescent="0.25">
      <c r="A144" s="1">
        <v>45724</v>
      </c>
      <c r="B144">
        <v>0.1075</v>
      </c>
      <c r="C144">
        <v>0.37</v>
      </c>
      <c r="D144">
        <v>0.45</v>
      </c>
      <c r="E144">
        <v>0.43740000000000001</v>
      </c>
      <c r="F144">
        <v>0.1075</v>
      </c>
      <c r="G144">
        <v>0.27779999999999999</v>
      </c>
      <c r="H144">
        <v>4239816925</v>
      </c>
      <c r="I144">
        <v>1000000000</v>
      </c>
      <c r="K144">
        <f>(1+B306)/(1+B144)-1</f>
        <v>0.3251467268623025</v>
      </c>
      <c r="L144">
        <v>162</v>
      </c>
      <c r="M144">
        <v>0.19716930299999999</v>
      </c>
      <c r="P144">
        <f>K144*I144-K147*I144</f>
        <v>81286681.715575606</v>
      </c>
      <c r="Q144">
        <f>L145*I144</f>
        <v>8827848.9384139292</v>
      </c>
    </row>
    <row r="145" spans="1:17" x14ac:dyDescent="0.25">
      <c r="A145" s="1">
        <v>45725</v>
      </c>
      <c r="B145">
        <v>9.3100000000000002E-2</v>
      </c>
      <c r="C145">
        <v>0.35</v>
      </c>
      <c r="D145">
        <v>0.51</v>
      </c>
      <c r="E145">
        <v>0.45069999999999999</v>
      </c>
      <c r="F145">
        <v>9.3100000000000002E-2</v>
      </c>
      <c r="G145">
        <v>0.23619999999999999</v>
      </c>
      <c r="H145">
        <v>4184976109</v>
      </c>
      <c r="I145">
        <v>0</v>
      </c>
      <c r="L145">
        <f>(1+T3)^(L144/365)-1</f>
        <v>8.8278489384139291E-3</v>
      </c>
    </row>
    <row r="146" spans="1:17" x14ac:dyDescent="0.25">
      <c r="A146" s="1">
        <v>45726</v>
      </c>
      <c r="B146">
        <v>9.7299999999999998E-2</v>
      </c>
      <c r="C146">
        <v>0.36</v>
      </c>
      <c r="D146">
        <v>0.56000000000000005</v>
      </c>
      <c r="E146">
        <v>0.45569999999999999</v>
      </c>
      <c r="F146">
        <v>9.7299999999999998E-2</v>
      </c>
      <c r="G146">
        <v>0.2452</v>
      </c>
      <c r="H146">
        <v>4200963231</v>
      </c>
      <c r="I146">
        <v>0</v>
      </c>
      <c r="M146">
        <f>(1+T4)^(L144/365)-1</f>
        <v>0.19716930323380244</v>
      </c>
      <c r="O146" s="3">
        <f ca="1">H301-P146-Q146</f>
        <v>5249125497.2813597</v>
      </c>
      <c r="P146" s="3">
        <f ca="1">SUM(P2:P144)</f>
        <v>292440529.81749773</v>
      </c>
      <c r="Q146" s="3">
        <f>SUM(Q2:Q144)</f>
        <v>52149542.901143417</v>
      </c>
    </row>
    <row r="147" spans="1:17" x14ac:dyDescent="0.25">
      <c r="A147" s="1">
        <v>45727</v>
      </c>
      <c r="B147">
        <v>9.7199999999999995E-2</v>
      </c>
      <c r="C147">
        <v>0.34</v>
      </c>
      <c r="D147">
        <v>0.55000000000000004</v>
      </c>
      <c r="E147">
        <v>0.45900000000000002</v>
      </c>
      <c r="F147">
        <v>9.7199999999999995E-2</v>
      </c>
      <c r="G147">
        <v>0.24260000000000001</v>
      </c>
      <c r="H147">
        <v>4200553680</v>
      </c>
      <c r="I147">
        <v>0</v>
      </c>
      <c r="K147">
        <f>K144*0.75</f>
        <v>0.24386004514672688</v>
      </c>
      <c r="O147" s="3"/>
    </row>
    <row r="148" spans="1:17" x14ac:dyDescent="0.25">
      <c r="A148" s="1">
        <v>45728</v>
      </c>
      <c r="B148">
        <v>9.5899999999999999E-2</v>
      </c>
      <c r="C148">
        <v>0.34</v>
      </c>
      <c r="D148">
        <v>0.53</v>
      </c>
      <c r="E148">
        <v>0.45929999999999999</v>
      </c>
      <c r="F148">
        <v>9.5899999999999999E-2</v>
      </c>
      <c r="G148">
        <v>0.23710000000000001</v>
      </c>
      <c r="H148">
        <v>4195724591</v>
      </c>
      <c r="I148">
        <v>0</v>
      </c>
    </row>
    <row r="149" spans="1:17" x14ac:dyDescent="0.25">
      <c r="A149" s="1">
        <v>45729</v>
      </c>
      <c r="B149">
        <v>8.9099999999999999E-2</v>
      </c>
      <c r="C149">
        <v>0.34</v>
      </c>
      <c r="D149">
        <v>0.53</v>
      </c>
      <c r="E149">
        <v>0.45379999999999998</v>
      </c>
      <c r="F149">
        <v>8.9099999999999999E-2</v>
      </c>
      <c r="G149">
        <v>0.21709999999999999</v>
      </c>
      <c r="H149">
        <v>4169334203</v>
      </c>
      <c r="I149">
        <v>0</v>
      </c>
    </row>
    <row r="150" spans="1:17" x14ac:dyDescent="0.25">
      <c r="A150" s="1">
        <v>45730</v>
      </c>
      <c r="B150">
        <v>8.9099999999999999E-2</v>
      </c>
      <c r="C150">
        <v>0.34</v>
      </c>
      <c r="D150">
        <v>0.53</v>
      </c>
      <c r="E150">
        <v>0.45379999999999998</v>
      </c>
      <c r="F150">
        <v>8.9099999999999999E-2</v>
      </c>
      <c r="G150">
        <v>0.21709999999999999</v>
      </c>
      <c r="H150">
        <v>4169334203</v>
      </c>
      <c r="I150">
        <v>0</v>
      </c>
    </row>
    <row r="151" spans="1:17" x14ac:dyDescent="0.25">
      <c r="A151" s="1">
        <v>45731</v>
      </c>
      <c r="B151">
        <v>0.104</v>
      </c>
      <c r="C151">
        <v>0.38</v>
      </c>
      <c r="D151">
        <v>0.53</v>
      </c>
      <c r="E151">
        <v>0.4385</v>
      </c>
      <c r="F151">
        <v>0.104</v>
      </c>
      <c r="G151">
        <v>0.2535</v>
      </c>
      <c r="H151">
        <v>4226399936</v>
      </c>
      <c r="I151">
        <v>0</v>
      </c>
    </row>
    <row r="152" spans="1:17" x14ac:dyDescent="0.25">
      <c r="A152" s="1">
        <v>45732</v>
      </c>
      <c r="B152">
        <v>8.3400000000000002E-2</v>
      </c>
      <c r="C152">
        <v>0.37</v>
      </c>
      <c r="D152">
        <v>0.53</v>
      </c>
      <c r="E152">
        <v>0.4703</v>
      </c>
      <c r="F152">
        <v>8.3400000000000002E-2</v>
      </c>
      <c r="G152">
        <v>0.19900000000000001</v>
      </c>
      <c r="H152">
        <v>4147655819</v>
      </c>
      <c r="I152">
        <v>0</v>
      </c>
    </row>
    <row r="153" spans="1:17" x14ac:dyDescent="0.25">
      <c r="A153" s="1">
        <v>45733</v>
      </c>
      <c r="B153">
        <v>8.3400000000000002E-2</v>
      </c>
      <c r="C153">
        <v>0.37</v>
      </c>
      <c r="D153">
        <v>0.56999999999999995</v>
      </c>
      <c r="E153">
        <v>0.49609999999999999</v>
      </c>
      <c r="F153">
        <v>8.3400000000000002E-2</v>
      </c>
      <c r="G153">
        <v>0.19719999999999999</v>
      </c>
      <c r="H153">
        <v>4147548043</v>
      </c>
      <c r="I153">
        <v>0</v>
      </c>
    </row>
    <row r="154" spans="1:17" x14ac:dyDescent="0.25">
      <c r="A154" s="1">
        <v>45734</v>
      </c>
      <c r="B154">
        <v>9.6299999999999997E-2</v>
      </c>
      <c r="C154">
        <v>0.34</v>
      </c>
      <c r="D154">
        <v>0.66</v>
      </c>
      <c r="E154">
        <v>0.54300000000000004</v>
      </c>
      <c r="F154">
        <v>9.6299999999999997E-2</v>
      </c>
      <c r="G154">
        <v>0.22750000000000001</v>
      </c>
      <c r="H154">
        <v>4196997833</v>
      </c>
      <c r="I154">
        <v>0</v>
      </c>
    </row>
    <row r="155" spans="1:17" x14ac:dyDescent="0.25">
      <c r="A155" s="1">
        <v>45735</v>
      </c>
      <c r="B155">
        <v>9.6299999999999997E-2</v>
      </c>
      <c r="C155">
        <v>0.34</v>
      </c>
      <c r="D155">
        <v>0.77</v>
      </c>
      <c r="E155">
        <v>0.53990000000000005</v>
      </c>
      <c r="F155">
        <v>9.6299999999999997E-2</v>
      </c>
      <c r="G155">
        <v>0.22750000000000001</v>
      </c>
      <c r="H155">
        <v>4196997833</v>
      </c>
      <c r="I155">
        <v>0</v>
      </c>
    </row>
    <row r="156" spans="1:17" x14ac:dyDescent="0.25">
      <c r="A156" s="1">
        <v>45736</v>
      </c>
      <c r="B156">
        <v>9.6299999999999997E-2</v>
      </c>
      <c r="C156">
        <v>0.34</v>
      </c>
      <c r="D156">
        <v>0.77</v>
      </c>
      <c r="E156">
        <v>0.53759999999999997</v>
      </c>
      <c r="F156">
        <v>9.6299999999999997E-2</v>
      </c>
      <c r="G156">
        <v>0.22750000000000001</v>
      </c>
      <c r="H156">
        <v>4196997833</v>
      </c>
      <c r="I156">
        <v>0</v>
      </c>
    </row>
    <row r="157" spans="1:17" x14ac:dyDescent="0.25">
      <c r="A157" s="1">
        <v>45737</v>
      </c>
      <c r="B157">
        <v>9.6299999999999997E-2</v>
      </c>
      <c r="C157">
        <v>0.34</v>
      </c>
      <c r="D157">
        <v>0.77</v>
      </c>
      <c r="E157">
        <v>0.53759999999999997</v>
      </c>
      <c r="F157">
        <v>9.6299999999999997E-2</v>
      </c>
      <c r="G157">
        <v>0.22750000000000001</v>
      </c>
      <c r="H157">
        <v>4196997833</v>
      </c>
      <c r="I157">
        <v>0</v>
      </c>
    </row>
    <row r="158" spans="1:17" x14ac:dyDescent="0.25">
      <c r="A158" s="1">
        <v>45738</v>
      </c>
      <c r="B158">
        <v>9.6299999999999997E-2</v>
      </c>
      <c r="C158">
        <v>0.34</v>
      </c>
      <c r="D158">
        <v>0.77</v>
      </c>
      <c r="E158">
        <v>0.53759999999999997</v>
      </c>
      <c r="F158">
        <v>9.6299999999999997E-2</v>
      </c>
      <c r="G158">
        <v>0.22750000000000001</v>
      </c>
      <c r="H158">
        <v>4196997833</v>
      </c>
      <c r="I158">
        <v>0</v>
      </c>
    </row>
    <row r="159" spans="1:17" x14ac:dyDescent="0.25">
      <c r="A159" s="1">
        <v>45739</v>
      </c>
      <c r="B159">
        <v>9.6299999999999997E-2</v>
      </c>
      <c r="C159">
        <v>0.34</v>
      </c>
      <c r="D159">
        <v>0.77</v>
      </c>
      <c r="E159">
        <v>0.53759999999999997</v>
      </c>
      <c r="F159">
        <v>9.6299999999999997E-2</v>
      </c>
      <c r="G159">
        <v>0.22750000000000001</v>
      </c>
      <c r="H159">
        <v>4196997833</v>
      </c>
      <c r="I159">
        <v>0</v>
      </c>
    </row>
    <row r="160" spans="1:17" x14ac:dyDescent="0.25">
      <c r="A160" s="1">
        <v>45740</v>
      </c>
      <c r="B160">
        <v>9.6299999999999997E-2</v>
      </c>
      <c r="C160">
        <v>0.34</v>
      </c>
      <c r="D160">
        <v>0.77</v>
      </c>
      <c r="E160">
        <v>0.53759999999999997</v>
      </c>
      <c r="F160">
        <v>9.6299999999999997E-2</v>
      </c>
      <c r="G160">
        <v>0.22750000000000001</v>
      </c>
      <c r="H160">
        <v>4196997833</v>
      </c>
      <c r="I160">
        <v>0</v>
      </c>
    </row>
    <row r="161" spans="1:9" x14ac:dyDescent="0.25">
      <c r="A161" s="1">
        <v>45741</v>
      </c>
      <c r="B161">
        <v>8.1100000000000005E-2</v>
      </c>
      <c r="C161">
        <v>0.38</v>
      </c>
      <c r="D161">
        <v>0.77</v>
      </c>
      <c r="E161">
        <v>0.60560000000000003</v>
      </c>
      <c r="F161">
        <v>8.1100000000000005E-2</v>
      </c>
      <c r="G161">
        <v>0.18820000000000001</v>
      </c>
      <c r="H161">
        <v>4138752747</v>
      </c>
      <c r="I161">
        <v>0</v>
      </c>
    </row>
    <row r="162" spans="1:9" x14ac:dyDescent="0.25">
      <c r="A162" s="1">
        <v>45742</v>
      </c>
      <c r="B162">
        <v>8.48E-2</v>
      </c>
      <c r="C162">
        <v>0.39</v>
      </c>
      <c r="D162">
        <v>0.74</v>
      </c>
      <c r="E162">
        <v>0.60409999999999997</v>
      </c>
      <c r="F162">
        <v>8.48E-2</v>
      </c>
      <c r="G162">
        <v>0.1956</v>
      </c>
      <c r="H162">
        <v>4152933318</v>
      </c>
      <c r="I162">
        <v>0</v>
      </c>
    </row>
    <row r="163" spans="1:9" x14ac:dyDescent="0.25">
      <c r="A163" s="1">
        <v>45743</v>
      </c>
      <c r="B163">
        <v>5.0799999999999998E-2</v>
      </c>
      <c r="C163">
        <v>0.39</v>
      </c>
      <c r="D163">
        <v>0.81</v>
      </c>
      <c r="E163">
        <v>0.61350000000000005</v>
      </c>
      <c r="F163">
        <v>5.0799999999999998E-2</v>
      </c>
      <c r="G163">
        <v>0.114</v>
      </c>
      <c r="H163">
        <v>4022920337</v>
      </c>
      <c r="I163">
        <v>0</v>
      </c>
    </row>
    <row r="164" spans="1:9" x14ac:dyDescent="0.25">
      <c r="A164" s="1">
        <v>45744</v>
      </c>
      <c r="B164">
        <v>5.0799999999999998E-2</v>
      </c>
      <c r="C164">
        <v>0.39</v>
      </c>
      <c r="D164">
        <v>0.81</v>
      </c>
      <c r="E164">
        <v>0.61350000000000005</v>
      </c>
      <c r="F164">
        <v>5.0799999999999998E-2</v>
      </c>
      <c r="G164">
        <v>0.114</v>
      </c>
      <c r="H164">
        <v>4022920337</v>
      </c>
      <c r="I164">
        <v>0</v>
      </c>
    </row>
    <row r="165" spans="1:9" x14ac:dyDescent="0.25">
      <c r="A165" s="1">
        <v>45745</v>
      </c>
      <c r="B165">
        <v>8.6999999999999994E-2</v>
      </c>
      <c r="C165">
        <v>0.41</v>
      </c>
      <c r="D165">
        <v>0.81</v>
      </c>
      <c r="E165">
        <v>0.63929999999999998</v>
      </c>
      <c r="F165">
        <v>8.6999999999999994E-2</v>
      </c>
      <c r="G165">
        <v>0.1976</v>
      </c>
      <c r="H165">
        <v>4161528019</v>
      </c>
      <c r="I165">
        <v>0</v>
      </c>
    </row>
    <row r="166" spans="1:9" x14ac:dyDescent="0.25">
      <c r="A166" s="1">
        <v>45746</v>
      </c>
      <c r="B166">
        <v>8.5900000000000004E-2</v>
      </c>
      <c r="C166">
        <v>0.44</v>
      </c>
      <c r="D166">
        <v>0.93</v>
      </c>
      <c r="E166">
        <v>0.62280000000000002</v>
      </c>
      <c r="F166">
        <v>8.5900000000000004E-2</v>
      </c>
      <c r="G166">
        <v>0.19339999999999999</v>
      </c>
      <c r="H166">
        <v>4157319382</v>
      </c>
      <c r="I166">
        <v>0</v>
      </c>
    </row>
    <row r="167" spans="1:9" x14ac:dyDescent="0.25">
      <c r="A167" s="1">
        <v>45747</v>
      </c>
      <c r="B167">
        <v>8.5900000000000004E-2</v>
      </c>
      <c r="C167">
        <v>0.44</v>
      </c>
      <c r="D167">
        <v>0.88</v>
      </c>
      <c r="E167">
        <v>0.62280000000000002</v>
      </c>
      <c r="F167">
        <v>8.5900000000000004E-2</v>
      </c>
      <c r="G167">
        <v>0.19339999999999999</v>
      </c>
      <c r="H167">
        <v>4157319382</v>
      </c>
      <c r="I167">
        <v>0</v>
      </c>
    </row>
    <row r="168" spans="1:9" x14ac:dyDescent="0.25">
      <c r="A168" s="1">
        <v>45748</v>
      </c>
      <c r="B168">
        <v>8.5900000000000004E-2</v>
      </c>
      <c r="C168">
        <v>0.44</v>
      </c>
      <c r="D168">
        <v>0.88</v>
      </c>
      <c r="E168">
        <v>0.62280000000000002</v>
      </c>
      <c r="F168">
        <v>8.5900000000000004E-2</v>
      </c>
      <c r="G168">
        <v>0.19339999999999999</v>
      </c>
      <c r="H168">
        <v>4157319382</v>
      </c>
      <c r="I168">
        <v>0</v>
      </c>
    </row>
    <row r="169" spans="1:9" x14ac:dyDescent="0.25">
      <c r="A169" s="1">
        <v>45749</v>
      </c>
      <c r="B169">
        <v>8.5900000000000004E-2</v>
      </c>
      <c r="C169">
        <v>0.44</v>
      </c>
      <c r="D169">
        <v>0.88</v>
      </c>
      <c r="E169">
        <v>0.62280000000000002</v>
      </c>
      <c r="F169">
        <v>8.5900000000000004E-2</v>
      </c>
      <c r="G169">
        <v>0.19339999999999999</v>
      </c>
      <c r="H169">
        <v>4157319382</v>
      </c>
      <c r="I169">
        <v>0</v>
      </c>
    </row>
    <row r="170" spans="1:9" x14ac:dyDescent="0.25">
      <c r="A170" s="1">
        <v>45750</v>
      </c>
      <c r="B170">
        <v>8.5900000000000004E-2</v>
      </c>
      <c r="C170">
        <v>0.44</v>
      </c>
      <c r="D170">
        <v>0.88</v>
      </c>
      <c r="E170">
        <v>0.64319999999999999</v>
      </c>
      <c r="F170">
        <v>8.5900000000000004E-2</v>
      </c>
      <c r="G170">
        <v>0.19339999999999999</v>
      </c>
      <c r="H170">
        <v>4157319382</v>
      </c>
      <c r="I170">
        <v>0</v>
      </c>
    </row>
    <row r="171" spans="1:9" x14ac:dyDescent="0.25">
      <c r="A171" s="1">
        <v>45751</v>
      </c>
      <c r="B171">
        <v>8.5900000000000004E-2</v>
      </c>
      <c r="C171">
        <v>0.44</v>
      </c>
      <c r="D171">
        <v>0.88</v>
      </c>
      <c r="E171">
        <v>0.64319999999999999</v>
      </c>
      <c r="F171">
        <v>8.5900000000000004E-2</v>
      </c>
      <c r="G171">
        <v>0.19339999999999999</v>
      </c>
      <c r="H171">
        <v>4157319382</v>
      </c>
      <c r="I171">
        <v>0</v>
      </c>
    </row>
    <row r="172" spans="1:9" x14ac:dyDescent="0.25">
      <c r="A172" s="1">
        <v>45752</v>
      </c>
      <c r="B172">
        <v>6.0499999999999998E-2</v>
      </c>
      <c r="C172">
        <v>0.43</v>
      </c>
      <c r="D172">
        <v>0.88</v>
      </c>
      <c r="E172">
        <v>0.60880000000000001</v>
      </c>
      <c r="F172">
        <v>6.0499999999999998E-2</v>
      </c>
      <c r="G172">
        <v>0.1331</v>
      </c>
      <c r="H172">
        <v>4059869685</v>
      </c>
      <c r="I172">
        <v>0</v>
      </c>
    </row>
    <row r="173" spans="1:9" x14ac:dyDescent="0.25">
      <c r="A173" s="1">
        <v>45753</v>
      </c>
      <c r="B173">
        <v>6.7500000000000004E-2</v>
      </c>
      <c r="C173">
        <v>0.39</v>
      </c>
      <c r="D173">
        <v>0.78</v>
      </c>
      <c r="E173">
        <v>0.6361</v>
      </c>
      <c r="F173">
        <v>6.7500000000000004E-2</v>
      </c>
      <c r="G173">
        <v>0.14810000000000001</v>
      </c>
      <c r="H173">
        <v>4086962664</v>
      </c>
      <c r="I173">
        <v>0</v>
      </c>
    </row>
    <row r="174" spans="1:9" x14ac:dyDescent="0.25">
      <c r="A174" s="1">
        <v>45754</v>
      </c>
      <c r="B174">
        <v>5.5399999999999998E-2</v>
      </c>
      <c r="C174">
        <v>0.39</v>
      </c>
      <c r="D174">
        <v>0.81</v>
      </c>
      <c r="E174">
        <v>0.65569999999999995</v>
      </c>
      <c r="F174">
        <v>5.5399999999999998E-2</v>
      </c>
      <c r="G174">
        <v>0.1197</v>
      </c>
      <c r="H174">
        <v>4040409333</v>
      </c>
      <c r="I174">
        <v>0</v>
      </c>
    </row>
    <row r="175" spans="1:9" x14ac:dyDescent="0.25">
      <c r="A175" s="1">
        <v>45755</v>
      </c>
      <c r="B175">
        <v>3.8600000000000002E-2</v>
      </c>
      <c r="C175">
        <v>0.43</v>
      </c>
      <c r="D175">
        <v>0.85</v>
      </c>
      <c r="E175">
        <v>0.56340000000000001</v>
      </c>
      <c r="F175">
        <v>3.8600000000000002E-2</v>
      </c>
      <c r="G175">
        <v>8.1900000000000001E-2</v>
      </c>
      <c r="H175">
        <v>3976018136</v>
      </c>
      <c r="I175">
        <v>0</v>
      </c>
    </row>
    <row r="176" spans="1:9" x14ac:dyDescent="0.25">
      <c r="A176" s="1">
        <v>45756</v>
      </c>
      <c r="B176">
        <v>8.2000000000000003E-2</v>
      </c>
      <c r="C176">
        <v>0.42</v>
      </c>
      <c r="D176">
        <v>0.67</v>
      </c>
      <c r="E176">
        <v>0.56340000000000001</v>
      </c>
      <c r="F176">
        <v>8.2000000000000003E-2</v>
      </c>
      <c r="G176">
        <v>0.1769</v>
      </c>
      <c r="H176">
        <v>4142487299</v>
      </c>
      <c r="I176">
        <v>0</v>
      </c>
    </row>
    <row r="177" spans="1:9" x14ac:dyDescent="0.25">
      <c r="A177" s="1">
        <v>45757</v>
      </c>
      <c r="B177">
        <v>0.1358</v>
      </c>
      <c r="C177">
        <v>0.42</v>
      </c>
      <c r="D177">
        <v>0.64</v>
      </c>
      <c r="E177">
        <v>0.5736</v>
      </c>
      <c r="F177">
        <v>0.1358</v>
      </c>
      <c r="G177">
        <v>0.29849999999999999</v>
      </c>
      <c r="H177">
        <v>4348343256</v>
      </c>
      <c r="I177">
        <v>0</v>
      </c>
    </row>
    <row r="178" spans="1:9" x14ac:dyDescent="0.25">
      <c r="A178" s="1">
        <v>45758</v>
      </c>
      <c r="B178">
        <v>0.1358</v>
      </c>
      <c r="C178">
        <v>0.42</v>
      </c>
      <c r="D178">
        <v>0.64</v>
      </c>
      <c r="E178">
        <v>0.5736</v>
      </c>
      <c r="F178">
        <v>0.1358</v>
      </c>
      <c r="G178">
        <v>0.29849999999999999</v>
      </c>
      <c r="H178">
        <v>4348343256</v>
      </c>
      <c r="I178">
        <v>0</v>
      </c>
    </row>
    <row r="179" spans="1:9" x14ac:dyDescent="0.25">
      <c r="A179" s="1">
        <v>45759</v>
      </c>
      <c r="B179">
        <v>0.15359999999999999</v>
      </c>
      <c r="C179">
        <v>0.43</v>
      </c>
      <c r="D179">
        <v>0.64</v>
      </c>
      <c r="E179">
        <v>0.48199999999999998</v>
      </c>
      <c r="F179">
        <v>0.15359999999999999</v>
      </c>
      <c r="G179">
        <v>0.3377</v>
      </c>
      <c r="H179">
        <v>4416433617</v>
      </c>
      <c r="I179">
        <v>0</v>
      </c>
    </row>
    <row r="180" spans="1:9" x14ac:dyDescent="0.25">
      <c r="A180" s="1">
        <v>45760</v>
      </c>
      <c r="B180">
        <v>0.13969999999999999</v>
      </c>
      <c r="C180">
        <v>0.48</v>
      </c>
      <c r="D180">
        <v>0.56000000000000005</v>
      </c>
      <c r="E180">
        <v>0.33019999999999999</v>
      </c>
      <c r="F180">
        <v>0.13969999999999999</v>
      </c>
      <c r="G180">
        <v>0.30270000000000002</v>
      </c>
      <c r="H180">
        <v>4363377056</v>
      </c>
      <c r="I180">
        <v>0</v>
      </c>
    </row>
    <row r="181" spans="1:9" x14ac:dyDescent="0.25">
      <c r="A181" s="1">
        <v>45761</v>
      </c>
      <c r="B181">
        <v>0.18940000000000001</v>
      </c>
      <c r="C181">
        <v>0.49</v>
      </c>
      <c r="D181">
        <v>0.41</v>
      </c>
      <c r="E181">
        <v>0.40060000000000001</v>
      </c>
      <c r="F181">
        <v>0.18940000000000001</v>
      </c>
      <c r="G181">
        <v>0.41649999999999998</v>
      </c>
      <c r="H181">
        <v>4553673593</v>
      </c>
      <c r="I181">
        <v>0</v>
      </c>
    </row>
    <row r="182" spans="1:9" x14ac:dyDescent="0.25">
      <c r="A182" s="1">
        <v>45762</v>
      </c>
      <c r="B182">
        <v>0.249</v>
      </c>
      <c r="C182">
        <v>0.49</v>
      </c>
      <c r="D182">
        <v>0.45</v>
      </c>
      <c r="E182">
        <v>0.37790000000000001</v>
      </c>
      <c r="F182">
        <v>0.249</v>
      </c>
      <c r="G182">
        <v>0.55759999999999998</v>
      </c>
      <c r="H182">
        <v>4781809290</v>
      </c>
      <c r="I182">
        <v>0</v>
      </c>
    </row>
    <row r="183" spans="1:9" x14ac:dyDescent="0.25">
      <c r="A183" s="1">
        <v>45763</v>
      </c>
      <c r="B183">
        <v>0.25019999999999998</v>
      </c>
      <c r="C183">
        <v>0.51</v>
      </c>
      <c r="D183">
        <v>0.49</v>
      </c>
      <c r="E183">
        <v>0.37719999999999998</v>
      </c>
      <c r="F183">
        <v>0.25019999999999998</v>
      </c>
      <c r="G183">
        <v>0.55559999999999998</v>
      </c>
      <c r="H183">
        <v>4786243249</v>
      </c>
      <c r="I183">
        <v>0</v>
      </c>
    </row>
    <row r="184" spans="1:9" x14ac:dyDescent="0.25">
      <c r="A184" s="1">
        <v>45764</v>
      </c>
      <c r="B184">
        <v>0.28639999999999999</v>
      </c>
      <c r="C184">
        <v>0.51</v>
      </c>
      <c r="D184">
        <v>0.46</v>
      </c>
      <c r="E184">
        <v>0.33489999999999998</v>
      </c>
      <c r="F184">
        <v>0.28639999999999999</v>
      </c>
      <c r="G184">
        <v>0.64019999999999999</v>
      </c>
      <c r="H184">
        <v>4924756106</v>
      </c>
      <c r="I184">
        <v>0</v>
      </c>
    </row>
    <row r="185" spans="1:9" x14ac:dyDescent="0.25">
      <c r="A185" s="1">
        <v>45765</v>
      </c>
      <c r="B185">
        <v>0.28639999999999999</v>
      </c>
      <c r="C185">
        <v>0.51</v>
      </c>
      <c r="D185">
        <v>0.46</v>
      </c>
      <c r="E185">
        <v>0.33489999999999998</v>
      </c>
      <c r="F185">
        <v>0.28639999999999999</v>
      </c>
      <c r="G185">
        <v>0.64019999999999999</v>
      </c>
      <c r="H185">
        <v>4924756106</v>
      </c>
      <c r="I185">
        <v>0</v>
      </c>
    </row>
    <row r="186" spans="1:9" x14ac:dyDescent="0.25">
      <c r="A186" s="1">
        <v>45766</v>
      </c>
      <c r="B186">
        <v>0.28149999999999997</v>
      </c>
      <c r="C186">
        <v>0.54</v>
      </c>
      <c r="D186">
        <v>0.46</v>
      </c>
      <c r="E186">
        <v>0.3286</v>
      </c>
      <c r="F186">
        <v>0.28149999999999997</v>
      </c>
      <c r="G186">
        <v>0.62270000000000003</v>
      </c>
      <c r="H186">
        <v>4906246953</v>
      </c>
      <c r="I186">
        <v>0</v>
      </c>
    </row>
    <row r="187" spans="1:9" x14ac:dyDescent="0.25">
      <c r="A187" s="1">
        <v>45767</v>
      </c>
      <c r="B187">
        <v>0.25540000000000002</v>
      </c>
      <c r="C187">
        <v>0.59</v>
      </c>
      <c r="D187">
        <v>0.4</v>
      </c>
      <c r="E187">
        <v>0.3286</v>
      </c>
      <c r="F187">
        <v>0.25540000000000002</v>
      </c>
      <c r="G187">
        <v>0.55389999999999995</v>
      </c>
      <c r="H187">
        <v>4806055856</v>
      </c>
      <c r="I187">
        <v>0</v>
      </c>
    </row>
    <row r="188" spans="1:9" x14ac:dyDescent="0.25">
      <c r="A188" s="1">
        <v>45768</v>
      </c>
      <c r="B188">
        <v>0.2591</v>
      </c>
      <c r="C188">
        <v>0.63</v>
      </c>
      <c r="D188">
        <v>0.3</v>
      </c>
      <c r="E188">
        <v>0.3286</v>
      </c>
      <c r="F188">
        <v>0.2591</v>
      </c>
      <c r="G188">
        <v>0.55800000000000005</v>
      </c>
      <c r="H188">
        <v>4820303349</v>
      </c>
      <c r="I188">
        <v>0</v>
      </c>
    </row>
    <row r="189" spans="1:9" x14ac:dyDescent="0.25">
      <c r="A189" s="1">
        <v>45769</v>
      </c>
      <c r="B189">
        <v>0.26640000000000003</v>
      </c>
      <c r="C189">
        <v>0.6</v>
      </c>
      <c r="D189">
        <v>0.35</v>
      </c>
      <c r="E189">
        <v>0.3286</v>
      </c>
      <c r="F189">
        <v>0.26640000000000003</v>
      </c>
      <c r="G189">
        <v>0.5706</v>
      </c>
      <c r="H189">
        <v>4848226780</v>
      </c>
      <c r="I189">
        <v>0</v>
      </c>
    </row>
    <row r="190" spans="1:9" x14ac:dyDescent="0.25">
      <c r="A190" s="1">
        <v>45770</v>
      </c>
      <c r="B190">
        <v>0.24010000000000001</v>
      </c>
      <c r="C190">
        <v>0.56000000000000005</v>
      </c>
      <c r="D190">
        <v>0.32</v>
      </c>
      <c r="E190">
        <v>0.3286</v>
      </c>
      <c r="F190">
        <v>0.24010000000000001</v>
      </c>
      <c r="G190">
        <v>0.50470000000000004</v>
      </c>
      <c r="H190">
        <v>4747692868</v>
      </c>
      <c r="I190">
        <v>0</v>
      </c>
    </row>
    <row r="191" spans="1:9" x14ac:dyDescent="0.25">
      <c r="A191" s="1">
        <v>45771</v>
      </c>
      <c r="B191">
        <v>0.24010000000000001</v>
      </c>
      <c r="C191">
        <v>0.56000000000000005</v>
      </c>
      <c r="D191">
        <v>0.32</v>
      </c>
      <c r="E191">
        <v>0.3286</v>
      </c>
      <c r="F191">
        <v>0.24010000000000001</v>
      </c>
      <c r="G191">
        <v>0.50470000000000004</v>
      </c>
      <c r="H191">
        <v>4747692868</v>
      </c>
      <c r="I191">
        <v>0</v>
      </c>
    </row>
    <row r="192" spans="1:9" x14ac:dyDescent="0.25">
      <c r="A192" s="1">
        <v>45772</v>
      </c>
      <c r="B192">
        <v>0.24010000000000001</v>
      </c>
      <c r="C192">
        <v>0.56000000000000005</v>
      </c>
      <c r="D192">
        <v>0.32</v>
      </c>
      <c r="E192">
        <v>0.3286</v>
      </c>
      <c r="F192">
        <v>0.24010000000000001</v>
      </c>
      <c r="G192">
        <v>0.50470000000000004</v>
      </c>
      <c r="H192">
        <v>4747692868</v>
      </c>
      <c r="I192">
        <v>0</v>
      </c>
    </row>
    <row r="193" spans="1:9" x14ac:dyDescent="0.25">
      <c r="A193" s="1">
        <v>45773</v>
      </c>
      <c r="B193">
        <v>0.2319</v>
      </c>
      <c r="C193">
        <v>0.59</v>
      </c>
      <c r="D193">
        <v>0.32</v>
      </c>
      <c r="E193">
        <v>0.3286</v>
      </c>
      <c r="F193">
        <v>0.2319</v>
      </c>
      <c r="G193">
        <v>0.48199999999999998</v>
      </c>
      <c r="H193">
        <v>4716378666</v>
      </c>
      <c r="I193">
        <v>0</v>
      </c>
    </row>
    <row r="194" spans="1:9" x14ac:dyDescent="0.25">
      <c r="A194" s="1">
        <v>45774</v>
      </c>
      <c r="B194">
        <v>0.24110000000000001</v>
      </c>
      <c r="C194">
        <v>0.59</v>
      </c>
      <c r="D194">
        <v>0.32</v>
      </c>
      <c r="E194">
        <v>0.2989</v>
      </c>
      <c r="F194">
        <v>0.24110000000000001</v>
      </c>
      <c r="G194">
        <v>0.49869999999999998</v>
      </c>
      <c r="H194">
        <v>4751357561</v>
      </c>
      <c r="I194">
        <v>0</v>
      </c>
    </row>
    <row r="195" spans="1:9" x14ac:dyDescent="0.25">
      <c r="A195" s="1">
        <v>45775</v>
      </c>
      <c r="B195">
        <v>0.23699999999999999</v>
      </c>
      <c r="C195">
        <v>0.59</v>
      </c>
      <c r="D195">
        <v>0.32</v>
      </c>
      <c r="E195">
        <v>0.2989</v>
      </c>
      <c r="F195">
        <v>0.23699999999999999</v>
      </c>
      <c r="G195">
        <v>0.48570000000000002</v>
      </c>
      <c r="H195">
        <v>4735888213</v>
      </c>
      <c r="I195">
        <v>0</v>
      </c>
    </row>
    <row r="196" spans="1:9" x14ac:dyDescent="0.25">
      <c r="A196" s="1">
        <v>45776</v>
      </c>
      <c r="B196">
        <v>0.24679999999999999</v>
      </c>
      <c r="C196">
        <v>0.56999999999999995</v>
      </c>
      <c r="D196">
        <v>0.32</v>
      </c>
      <c r="E196">
        <v>0.26740000000000003</v>
      </c>
      <c r="F196">
        <v>0.24679999999999999</v>
      </c>
      <c r="G196">
        <v>0.50339999999999996</v>
      </c>
      <c r="H196">
        <v>4773146259</v>
      </c>
      <c r="I196">
        <v>0</v>
      </c>
    </row>
    <row r="197" spans="1:9" x14ac:dyDescent="0.25">
      <c r="A197" s="1">
        <v>45777</v>
      </c>
      <c r="B197">
        <v>0.26229999999999998</v>
      </c>
      <c r="C197">
        <v>0.57999999999999996</v>
      </c>
      <c r="D197">
        <v>0.37</v>
      </c>
      <c r="E197">
        <v>0.28299999999999997</v>
      </c>
      <c r="F197">
        <v>0.26229999999999998</v>
      </c>
      <c r="G197">
        <v>0.53380000000000005</v>
      </c>
      <c r="H197">
        <v>4832522064</v>
      </c>
      <c r="I197">
        <v>0</v>
      </c>
    </row>
    <row r="198" spans="1:9" x14ac:dyDescent="0.25">
      <c r="A198" s="1">
        <v>45778</v>
      </c>
      <c r="B198">
        <v>0.2762</v>
      </c>
      <c r="C198">
        <v>0.57999999999999996</v>
      </c>
      <c r="D198">
        <v>0.39</v>
      </c>
      <c r="E198">
        <v>0.28299999999999997</v>
      </c>
      <c r="F198">
        <v>0.2762</v>
      </c>
      <c r="G198">
        <v>0.56040000000000001</v>
      </c>
      <c r="H198">
        <v>4885708627</v>
      </c>
      <c r="I198">
        <v>0</v>
      </c>
    </row>
    <row r="199" spans="1:9" x14ac:dyDescent="0.25">
      <c r="A199" s="1">
        <v>45779</v>
      </c>
      <c r="B199">
        <v>0.2762</v>
      </c>
      <c r="C199">
        <v>0.57999999999999996</v>
      </c>
      <c r="D199">
        <v>0.39</v>
      </c>
      <c r="E199">
        <v>0.28299999999999997</v>
      </c>
      <c r="F199">
        <v>0.2762</v>
      </c>
      <c r="G199">
        <v>0.56040000000000001</v>
      </c>
      <c r="H199">
        <v>4885708627</v>
      </c>
      <c r="I199">
        <v>0</v>
      </c>
    </row>
    <row r="200" spans="1:9" x14ac:dyDescent="0.25">
      <c r="A200" s="1">
        <v>45780</v>
      </c>
      <c r="B200">
        <v>0.30399999999999999</v>
      </c>
      <c r="C200">
        <v>0.54</v>
      </c>
      <c r="D200">
        <v>0.39</v>
      </c>
      <c r="E200">
        <v>0.33019999999999999</v>
      </c>
      <c r="F200">
        <v>0.30399999999999999</v>
      </c>
      <c r="G200">
        <v>0.61809999999999998</v>
      </c>
      <c r="H200">
        <v>4992313260</v>
      </c>
      <c r="I200">
        <v>0</v>
      </c>
    </row>
    <row r="201" spans="1:9" x14ac:dyDescent="0.25">
      <c r="A201" s="1">
        <v>45781</v>
      </c>
      <c r="B201">
        <v>0.29099999999999998</v>
      </c>
      <c r="C201">
        <v>0.5</v>
      </c>
      <c r="D201">
        <v>0.49</v>
      </c>
      <c r="E201">
        <v>0.36930000000000002</v>
      </c>
      <c r="F201">
        <v>0.29099999999999998</v>
      </c>
      <c r="G201">
        <v>0.58430000000000004</v>
      </c>
      <c r="H201">
        <v>4942584376</v>
      </c>
      <c r="I201">
        <v>0</v>
      </c>
    </row>
    <row r="202" spans="1:9" x14ac:dyDescent="0.25">
      <c r="A202" s="1">
        <v>45782</v>
      </c>
      <c r="B202">
        <v>0.2878</v>
      </c>
      <c r="C202">
        <v>0.52</v>
      </c>
      <c r="D202">
        <v>0.51</v>
      </c>
      <c r="E202">
        <v>0.32240000000000002</v>
      </c>
      <c r="F202">
        <v>0.2878</v>
      </c>
      <c r="G202">
        <v>0.5726</v>
      </c>
      <c r="H202">
        <v>4930222402</v>
      </c>
      <c r="I202">
        <v>0</v>
      </c>
    </row>
    <row r="203" spans="1:9" x14ac:dyDescent="0.25">
      <c r="A203" s="1">
        <v>45783</v>
      </c>
      <c r="B203">
        <v>0.28470000000000001</v>
      </c>
      <c r="C203">
        <v>0.54</v>
      </c>
      <c r="D203">
        <v>0.49</v>
      </c>
      <c r="E203">
        <v>0.2989</v>
      </c>
      <c r="F203">
        <v>0.28470000000000001</v>
      </c>
      <c r="G203">
        <v>0.56140000000000001</v>
      </c>
      <c r="H203">
        <v>4918399687</v>
      </c>
      <c r="I203">
        <v>0</v>
      </c>
    </row>
    <row r="204" spans="1:9" x14ac:dyDescent="0.25">
      <c r="A204" s="1">
        <v>45784</v>
      </c>
      <c r="B204">
        <v>0.2893</v>
      </c>
      <c r="C204">
        <v>0.54</v>
      </c>
      <c r="D204">
        <v>0.44</v>
      </c>
      <c r="E204">
        <v>0.2676</v>
      </c>
      <c r="F204">
        <v>0.2893</v>
      </c>
      <c r="G204">
        <v>0.56679999999999997</v>
      </c>
      <c r="H204">
        <v>4935838712</v>
      </c>
      <c r="I204">
        <v>0</v>
      </c>
    </row>
    <row r="205" spans="1:9" x14ac:dyDescent="0.25">
      <c r="A205" s="1">
        <v>45785</v>
      </c>
      <c r="B205">
        <v>0.28389999999999999</v>
      </c>
      <c r="C205">
        <v>0.54</v>
      </c>
      <c r="D205">
        <v>0.44</v>
      </c>
      <c r="E205">
        <v>0.27539999999999998</v>
      </c>
      <c r="F205">
        <v>0.28389999999999999</v>
      </c>
      <c r="G205">
        <v>0.55100000000000005</v>
      </c>
      <c r="H205">
        <v>4915315881</v>
      </c>
      <c r="I205">
        <v>0</v>
      </c>
    </row>
    <row r="206" spans="1:9" x14ac:dyDescent="0.25">
      <c r="A206" s="1">
        <v>45786</v>
      </c>
      <c r="B206">
        <v>0.28389999999999999</v>
      </c>
      <c r="C206">
        <v>0.54</v>
      </c>
      <c r="D206">
        <v>0.45</v>
      </c>
      <c r="E206">
        <v>0.27539999999999998</v>
      </c>
      <c r="F206">
        <v>0.28389999999999999</v>
      </c>
      <c r="G206">
        <v>0.55100000000000005</v>
      </c>
      <c r="H206">
        <v>4915315881</v>
      </c>
      <c r="I206">
        <v>0</v>
      </c>
    </row>
    <row r="207" spans="1:9" x14ac:dyDescent="0.25">
      <c r="A207" s="1">
        <v>45787</v>
      </c>
      <c r="B207">
        <v>0.2717</v>
      </c>
      <c r="C207">
        <v>0.56999999999999995</v>
      </c>
      <c r="D207">
        <v>0.45</v>
      </c>
      <c r="E207">
        <v>0.27539999999999998</v>
      </c>
      <c r="F207">
        <v>0.2717</v>
      </c>
      <c r="G207">
        <v>0.52110000000000001</v>
      </c>
      <c r="H207">
        <v>4868435097</v>
      </c>
      <c r="I207">
        <v>0</v>
      </c>
    </row>
    <row r="208" spans="1:9" x14ac:dyDescent="0.25">
      <c r="A208" s="1">
        <v>45788</v>
      </c>
      <c r="B208">
        <v>0.32519999999999999</v>
      </c>
      <c r="C208">
        <v>0.54</v>
      </c>
      <c r="D208">
        <v>0.48</v>
      </c>
      <c r="E208">
        <v>0.29110000000000003</v>
      </c>
      <c r="F208">
        <v>0.32519999999999999</v>
      </c>
      <c r="G208">
        <v>0.62980000000000003</v>
      </c>
      <c r="H208">
        <v>5073557040</v>
      </c>
      <c r="I208">
        <v>0</v>
      </c>
    </row>
    <row r="209" spans="1:9" x14ac:dyDescent="0.25">
      <c r="A209" s="1">
        <v>45789</v>
      </c>
      <c r="B209">
        <v>0.30220000000000002</v>
      </c>
      <c r="C209">
        <v>0.52</v>
      </c>
      <c r="D209">
        <v>0.49</v>
      </c>
      <c r="E209">
        <v>0.29110000000000003</v>
      </c>
      <c r="F209">
        <v>0.30220000000000002</v>
      </c>
      <c r="G209">
        <v>0.5766</v>
      </c>
      <c r="H209">
        <v>4985450542</v>
      </c>
      <c r="I209">
        <v>0</v>
      </c>
    </row>
    <row r="210" spans="1:9" x14ac:dyDescent="0.25">
      <c r="A210" s="1">
        <v>45790</v>
      </c>
      <c r="B210">
        <v>0.29899999999999999</v>
      </c>
      <c r="C210">
        <v>0.56999999999999995</v>
      </c>
      <c r="D210">
        <v>0.44</v>
      </c>
      <c r="E210">
        <v>0.2833</v>
      </c>
      <c r="F210">
        <v>0.29899999999999999</v>
      </c>
      <c r="G210">
        <v>0.5655</v>
      </c>
      <c r="H210">
        <v>4973109640</v>
      </c>
      <c r="I210">
        <v>0</v>
      </c>
    </row>
    <row r="211" spans="1:9" x14ac:dyDescent="0.25">
      <c r="A211" s="1">
        <v>45791</v>
      </c>
      <c r="B211">
        <v>0.29880000000000001</v>
      </c>
      <c r="C211">
        <v>0.57999999999999996</v>
      </c>
      <c r="D211">
        <v>0.45</v>
      </c>
      <c r="E211">
        <v>0.27539999999999998</v>
      </c>
      <c r="F211">
        <v>0.29880000000000001</v>
      </c>
      <c r="G211">
        <v>0.56089999999999995</v>
      </c>
      <c r="H211">
        <v>4972386453</v>
      </c>
      <c r="I211">
        <v>0</v>
      </c>
    </row>
    <row r="212" spans="1:9" x14ac:dyDescent="0.25">
      <c r="A212" s="1">
        <v>45792</v>
      </c>
      <c r="B212">
        <v>0.31900000000000001</v>
      </c>
      <c r="C212">
        <v>0.6</v>
      </c>
      <c r="D212">
        <v>0.44</v>
      </c>
      <c r="E212">
        <v>0.2676</v>
      </c>
      <c r="F212">
        <v>0.31900000000000001</v>
      </c>
      <c r="G212">
        <v>0.59789999999999999</v>
      </c>
      <c r="H212">
        <v>5049616595</v>
      </c>
      <c r="I212">
        <v>0</v>
      </c>
    </row>
    <row r="213" spans="1:9" x14ac:dyDescent="0.25">
      <c r="A213" s="1">
        <v>45793</v>
      </c>
      <c r="B213">
        <v>0.31900000000000001</v>
      </c>
      <c r="C213">
        <v>0.6</v>
      </c>
      <c r="D213">
        <v>0.44</v>
      </c>
      <c r="E213">
        <v>0.2676</v>
      </c>
      <c r="F213">
        <v>0.31900000000000001</v>
      </c>
      <c r="G213">
        <v>0.59789999999999999</v>
      </c>
      <c r="H213">
        <v>5049616595</v>
      </c>
      <c r="I213">
        <v>0</v>
      </c>
    </row>
    <row r="214" spans="1:9" x14ac:dyDescent="0.25">
      <c r="A214" s="1">
        <v>45794</v>
      </c>
      <c r="B214">
        <v>0.3221</v>
      </c>
      <c r="C214">
        <v>0.6</v>
      </c>
      <c r="D214">
        <v>0.44</v>
      </c>
      <c r="E214">
        <v>0.2676</v>
      </c>
      <c r="F214">
        <v>0.3221</v>
      </c>
      <c r="G214">
        <v>0.59970000000000001</v>
      </c>
      <c r="H214">
        <v>5061420140</v>
      </c>
      <c r="I214">
        <v>0</v>
      </c>
    </row>
    <row r="215" spans="1:9" x14ac:dyDescent="0.25">
      <c r="A215" s="1">
        <v>45795</v>
      </c>
      <c r="B215">
        <v>0.33550000000000002</v>
      </c>
      <c r="C215">
        <v>0.61</v>
      </c>
      <c r="D215">
        <v>0.4</v>
      </c>
      <c r="E215">
        <v>0.2676</v>
      </c>
      <c r="F215">
        <v>0.33550000000000002</v>
      </c>
      <c r="G215">
        <v>0.62250000000000005</v>
      </c>
      <c r="H215">
        <v>5112998137</v>
      </c>
      <c r="I215">
        <v>0</v>
      </c>
    </row>
    <row r="216" spans="1:9" x14ac:dyDescent="0.25">
      <c r="A216" s="1">
        <v>45796</v>
      </c>
      <c r="B216">
        <v>0.32990000000000003</v>
      </c>
      <c r="C216">
        <v>0.6</v>
      </c>
      <c r="D216">
        <v>0.37</v>
      </c>
      <c r="E216">
        <v>0.2833</v>
      </c>
      <c r="F216">
        <v>0.32990000000000003</v>
      </c>
      <c r="G216">
        <v>0.60650000000000004</v>
      </c>
      <c r="H216">
        <v>5091388431</v>
      </c>
      <c r="I216">
        <v>0</v>
      </c>
    </row>
    <row r="217" spans="1:9" x14ac:dyDescent="0.25">
      <c r="A217" s="1">
        <v>45797</v>
      </c>
      <c r="B217">
        <v>0.34820000000000001</v>
      </c>
      <c r="C217">
        <v>0.56999999999999995</v>
      </c>
      <c r="D217">
        <v>0.39</v>
      </c>
      <c r="E217">
        <v>0.29110000000000003</v>
      </c>
      <c r="F217">
        <v>0.34820000000000001</v>
      </c>
      <c r="G217">
        <v>0.63859999999999995</v>
      </c>
      <c r="H217">
        <v>5161459043</v>
      </c>
      <c r="I217">
        <v>0</v>
      </c>
    </row>
    <row r="218" spans="1:9" x14ac:dyDescent="0.25">
      <c r="A218" s="1">
        <v>45798</v>
      </c>
      <c r="B218">
        <v>0.3251</v>
      </c>
      <c r="C218">
        <v>0.53</v>
      </c>
      <c r="D218">
        <v>0.46</v>
      </c>
      <c r="E218">
        <v>0.2833</v>
      </c>
      <c r="F218">
        <v>0.3251</v>
      </c>
      <c r="G218">
        <v>0.58809999999999996</v>
      </c>
      <c r="H218">
        <v>5072861565</v>
      </c>
      <c r="I218">
        <v>0</v>
      </c>
    </row>
    <row r="219" spans="1:9" x14ac:dyDescent="0.25">
      <c r="A219" s="1">
        <v>45799</v>
      </c>
      <c r="B219">
        <v>0.33100000000000002</v>
      </c>
      <c r="C219">
        <v>0.55000000000000004</v>
      </c>
      <c r="D219">
        <v>0.46</v>
      </c>
      <c r="E219">
        <v>0.27539999999999998</v>
      </c>
      <c r="F219">
        <v>0.33100000000000002</v>
      </c>
      <c r="G219">
        <v>0.59540000000000004</v>
      </c>
      <c r="H219">
        <v>5095656138</v>
      </c>
      <c r="I219">
        <v>0</v>
      </c>
    </row>
    <row r="220" spans="1:9" x14ac:dyDescent="0.25">
      <c r="A220" s="1">
        <v>45800</v>
      </c>
      <c r="B220">
        <v>0.33100000000000002</v>
      </c>
      <c r="C220">
        <v>0.55000000000000004</v>
      </c>
      <c r="D220">
        <v>0.45</v>
      </c>
      <c r="E220">
        <v>0.2833</v>
      </c>
      <c r="F220">
        <v>0.33100000000000002</v>
      </c>
      <c r="G220">
        <v>0.59540000000000004</v>
      </c>
      <c r="H220">
        <v>5095656138</v>
      </c>
      <c r="I220">
        <v>0</v>
      </c>
    </row>
    <row r="221" spans="1:9" x14ac:dyDescent="0.25">
      <c r="A221" s="1">
        <v>45801</v>
      </c>
      <c r="B221">
        <v>0.32200000000000001</v>
      </c>
      <c r="C221">
        <v>0.52</v>
      </c>
      <c r="D221">
        <v>0.45</v>
      </c>
      <c r="E221">
        <v>0.2833</v>
      </c>
      <c r="F221">
        <v>0.32200000000000001</v>
      </c>
      <c r="G221">
        <v>0.57369999999999999</v>
      </c>
      <c r="H221">
        <v>5061184791</v>
      </c>
      <c r="I221">
        <v>0</v>
      </c>
    </row>
    <row r="222" spans="1:9" x14ac:dyDescent="0.25">
      <c r="A222" s="1">
        <v>45802</v>
      </c>
      <c r="B222">
        <v>0.31269999999999998</v>
      </c>
      <c r="C222">
        <v>0.53</v>
      </c>
      <c r="D222">
        <v>0.44</v>
      </c>
      <c r="E222">
        <v>0.2833</v>
      </c>
      <c r="F222">
        <v>0.31269999999999998</v>
      </c>
      <c r="G222">
        <v>0.55179999999999996</v>
      </c>
      <c r="H222">
        <v>5025603882</v>
      </c>
      <c r="I222">
        <v>0</v>
      </c>
    </row>
    <row r="223" spans="1:9" x14ac:dyDescent="0.25">
      <c r="A223" s="1">
        <v>45803</v>
      </c>
      <c r="B223">
        <v>0.30790000000000001</v>
      </c>
      <c r="C223">
        <v>0.55000000000000004</v>
      </c>
      <c r="D223">
        <v>0.42</v>
      </c>
      <c r="E223">
        <v>0.2989</v>
      </c>
      <c r="F223">
        <v>0.30790000000000001</v>
      </c>
      <c r="G223">
        <v>0.53890000000000005</v>
      </c>
      <c r="H223">
        <v>5007350034</v>
      </c>
      <c r="I223">
        <v>0</v>
      </c>
    </row>
    <row r="224" spans="1:9" x14ac:dyDescent="0.25">
      <c r="A224" s="1">
        <v>45804</v>
      </c>
      <c r="B224">
        <v>0.31709999999999999</v>
      </c>
      <c r="C224">
        <v>0.54</v>
      </c>
      <c r="D224">
        <v>0.43</v>
      </c>
      <c r="E224">
        <v>0.2833</v>
      </c>
      <c r="F224">
        <v>0.31709999999999999</v>
      </c>
      <c r="G224">
        <v>0.55230000000000001</v>
      </c>
      <c r="H224">
        <v>5042444079</v>
      </c>
      <c r="I224">
        <v>0</v>
      </c>
    </row>
    <row r="225" spans="1:9" x14ac:dyDescent="0.25">
      <c r="A225" s="1">
        <v>45805</v>
      </c>
      <c r="B225">
        <v>0.31979999999999997</v>
      </c>
      <c r="C225">
        <v>0.54</v>
      </c>
      <c r="D225">
        <v>0.43</v>
      </c>
      <c r="E225">
        <v>0.27539999999999998</v>
      </c>
      <c r="F225">
        <v>0.31979999999999997</v>
      </c>
      <c r="G225">
        <v>0.55349999999999999</v>
      </c>
      <c r="H225">
        <v>5052644772</v>
      </c>
      <c r="I225">
        <v>0</v>
      </c>
    </row>
    <row r="226" spans="1:9" x14ac:dyDescent="0.25">
      <c r="A226" s="1">
        <v>45806</v>
      </c>
      <c r="B226">
        <v>0.31890000000000002</v>
      </c>
      <c r="C226">
        <v>0.54</v>
      </c>
      <c r="D226">
        <v>0.43</v>
      </c>
      <c r="E226">
        <v>0.27539999999999998</v>
      </c>
      <c r="F226">
        <v>0.31890000000000002</v>
      </c>
      <c r="G226">
        <v>0.54800000000000004</v>
      </c>
      <c r="H226">
        <v>5049358902</v>
      </c>
      <c r="I226">
        <v>0</v>
      </c>
    </row>
    <row r="227" spans="1:9" x14ac:dyDescent="0.25">
      <c r="A227" s="1">
        <v>45807</v>
      </c>
      <c r="B227">
        <v>0.31890000000000002</v>
      </c>
      <c r="C227">
        <v>0.55000000000000004</v>
      </c>
      <c r="D227">
        <v>0.43</v>
      </c>
      <c r="E227">
        <v>0.2833</v>
      </c>
      <c r="F227">
        <v>0.31890000000000002</v>
      </c>
      <c r="G227">
        <v>0.54800000000000004</v>
      </c>
      <c r="H227">
        <v>5049358902</v>
      </c>
      <c r="I227">
        <v>0</v>
      </c>
    </row>
    <row r="228" spans="1:9" x14ac:dyDescent="0.25">
      <c r="A228" s="1">
        <v>45808</v>
      </c>
      <c r="B228">
        <v>0.34179999999999999</v>
      </c>
      <c r="C228">
        <v>0.55000000000000004</v>
      </c>
      <c r="D228">
        <v>0.43</v>
      </c>
      <c r="E228">
        <v>0.2833</v>
      </c>
      <c r="F228">
        <v>0.34179999999999999</v>
      </c>
      <c r="G228">
        <v>0.58660000000000001</v>
      </c>
      <c r="H228">
        <v>5137062715</v>
      </c>
      <c r="I228">
        <v>0</v>
      </c>
    </row>
    <row r="229" spans="1:9" x14ac:dyDescent="0.25">
      <c r="A229" s="1">
        <v>45809</v>
      </c>
      <c r="B229">
        <v>0.33379999999999999</v>
      </c>
      <c r="C229">
        <v>0.54</v>
      </c>
      <c r="D229">
        <v>0.43</v>
      </c>
      <c r="E229">
        <v>0.29110000000000003</v>
      </c>
      <c r="F229">
        <v>0.33379999999999999</v>
      </c>
      <c r="G229">
        <v>0.56779999999999997</v>
      </c>
      <c r="H229">
        <v>5106513478</v>
      </c>
      <c r="I229">
        <v>0</v>
      </c>
    </row>
    <row r="230" spans="1:9" x14ac:dyDescent="0.25">
      <c r="A230" s="1">
        <v>45810</v>
      </c>
      <c r="B230">
        <v>0.30940000000000001</v>
      </c>
      <c r="C230">
        <v>0.54</v>
      </c>
      <c r="D230">
        <v>0.41</v>
      </c>
      <c r="E230">
        <v>0.29110000000000003</v>
      </c>
      <c r="F230">
        <v>0.30940000000000001</v>
      </c>
      <c r="G230">
        <v>0.51959999999999995</v>
      </c>
      <c r="H230">
        <v>5012744995</v>
      </c>
      <c r="I230">
        <v>0</v>
      </c>
    </row>
    <row r="231" spans="1:9" x14ac:dyDescent="0.25">
      <c r="A231" s="1">
        <v>45811</v>
      </c>
      <c r="B231">
        <v>0.31809999999999999</v>
      </c>
      <c r="C231">
        <v>0.53</v>
      </c>
      <c r="D231">
        <v>0.43</v>
      </c>
      <c r="E231">
        <v>0.2989</v>
      </c>
      <c r="F231">
        <v>0.31809999999999999</v>
      </c>
      <c r="G231">
        <v>0.53169999999999995</v>
      </c>
      <c r="H231">
        <v>5046174092</v>
      </c>
      <c r="I231">
        <v>0</v>
      </c>
    </row>
    <row r="232" spans="1:9" x14ac:dyDescent="0.25">
      <c r="A232" s="1">
        <v>45812</v>
      </c>
      <c r="B232">
        <v>0.31809999999999999</v>
      </c>
      <c r="C232">
        <v>0.54</v>
      </c>
      <c r="D232">
        <v>0.45</v>
      </c>
      <c r="E232">
        <v>0.2989</v>
      </c>
      <c r="F232">
        <v>0.31809999999999999</v>
      </c>
      <c r="G232">
        <v>0.53169999999999995</v>
      </c>
      <c r="H232">
        <v>5046174092</v>
      </c>
      <c r="I232">
        <v>0</v>
      </c>
    </row>
    <row r="233" spans="1:9" x14ac:dyDescent="0.25">
      <c r="A233" s="1">
        <v>45813</v>
      </c>
      <c r="B233">
        <v>0.31809999999999999</v>
      </c>
      <c r="C233">
        <v>0.53</v>
      </c>
      <c r="D233">
        <v>0.45</v>
      </c>
      <c r="E233">
        <v>0.2989</v>
      </c>
      <c r="F233">
        <v>0.31809999999999999</v>
      </c>
      <c r="G233">
        <v>0.53169999999999995</v>
      </c>
      <c r="H233">
        <v>5046174092</v>
      </c>
      <c r="I233">
        <v>0</v>
      </c>
    </row>
    <row r="234" spans="1:9" x14ac:dyDescent="0.25">
      <c r="A234" s="1">
        <v>45814</v>
      </c>
      <c r="B234">
        <v>0.31809999999999999</v>
      </c>
      <c r="C234">
        <v>0.53</v>
      </c>
      <c r="D234">
        <v>0.45</v>
      </c>
      <c r="E234">
        <v>0.29110000000000003</v>
      </c>
      <c r="F234">
        <v>0.31809999999999999</v>
      </c>
      <c r="G234">
        <v>0.53169999999999995</v>
      </c>
      <c r="H234">
        <v>5046174092</v>
      </c>
      <c r="I234">
        <v>0</v>
      </c>
    </row>
    <row r="235" spans="1:9" x14ac:dyDescent="0.25">
      <c r="A235" s="1">
        <v>45815</v>
      </c>
      <c r="B235">
        <v>0.33950000000000002</v>
      </c>
      <c r="C235">
        <v>0.49</v>
      </c>
      <c r="D235">
        <v>0.45</v>
      </c>
      <c r="E235">
        <v>0.29110000000000003</v>
      </c>
      <c r="F235">
        <v>0.33950000000000002</v>
      </c>
      <c r="G235">
        <v>0.56640000000000001</v>
      </c>
      <c r="H235">
        <v>5127991613</v>
      </c>
      <c r="I235">
        <v>0</v>
      </c>
    </row>
    <row r="236" spans="1:9" x14ac:dyDescent="0.25">
      <c r="A236" s="1">
        <v>45816</v>
      </c>
      <c r="B236">
        <v>0.33839999999999998</v>
      </c>
      <c r="C236">
        <v>0.49</v>
      </c>
      <c r="D236">
        <v>0.46</v>
      </c>
      <c r="E236">
        <v>0.2833</v>
      </c>
      <c r="F236">
        <v>0.33839999999999998</v>
      </c>
      <c r="G236">
        <v>0.56059999999999999</v>
      </c>
      <c r="H236">
        <v>5123777357</v>
      </c>
      <c r="I236">
        <v>0</v>
      </c>
    </row>
    <row r="237" spans="1:9" x14ac:dyDescent="0.25">
      <c r="A237" s="1">
        <v>45817</v>
      </c>
      <c r="B237">
        <v>0.34789999999999999</v>
      </c>
      <c r="C237">
        <v>0.48</v>
      </c>
      <c r="D237">
        <v>0.45</v>
      </c>
      <c r="E237">
        <v>0.29099999999999998</v>
      </c>
      <c r="F237">
        <v>0.34789999999999999</v>
      </c>
      <c r="G237">
        <v>0.57379999999999998</v>
      </c>
      <c r="H237">
        <v>5160321018</v>
      </c>
      <c r="I237">
        <v>0</v>
      </c>
    </row>
    <row r="238" spans="1:9" x14ac:dyDescent="0.25">
      <c r="A238" s="1">
        <v>45818</v>
      </c>
      <c r="B238">
        <v>0.33989999999999998</v>
      </c>
      <c r="C238">
        <v>0.48</v>
      </c>
      <c r="D238">
        <v>0.48</v>
      </c>
      <c r="E238">
        <v>0.28179999999999999</v>
      </c>
      <c r="F238">
        <v>0.33989999999999998</v>
      </c>
      <c r="G238">
        <v>0.55589999999999995</v>
      </c>
      <c r="H238">
        <v>5129712744</v>
      </c>
      <c r="I238">
        <v>0</v>
      </c>
    </row>
    <row r="239" spans="1:9" x14ac:dyDescent="0.25">
      <c r="A239" s="1">
        <v>45819</v>
      </c>
      <c r="B239">
        <v>0.3417</v>
      </c>
      <c r="C239">
        <v>0.47</v>
      </c>
      <c r="D239">
        <v>0.44</v>
      </c>
      <c r="E239">
        <v>0.29480000000000001</v>
      </c>
      <c r="F239">
        <v>0.3417</v>
      </c>
      <c r="G239">
        <v>0.5554</v>
      </c>
      <c r="H239">
        <v>5136723155</v>
      </c>
      <c r="I239">
        <v>0</v>
      </c>
    </row>
    <row r="240" spans="1:9" x14ac:dyDescent="0.25">
      <c r="A240" s="1">
        <v>45820</v>
      </c>
      <c r="B240">
        <v>0.34320000000000001</v>
      </c>
      <c r="C240">
        <v>0.47</v>
      </c>
      <c r="D240">
        <v>0.46</v>
      </c>
      <c r="E240">
        <v>0.30730000000000002</v>
      </c>
      <c r="F240">
        <v>0.34320000000000001</v>
      </c>
      <c r="G240">
        <v>0.55430000000000001</v>
      </c>
      <c r="H240">
        <v>5142277150</v>
      </c>
      <c r="I240">
        <v>0</v>
      </c>
    </row>
    <row r="241" spans="1:9" x14ac:dyDescent="0.25">
      <c r="A241" s="1">
        <v>45821</v>
      </c>
      <c r="B241">
        <v>0.34320000000000001</v>
      </c>
      <c r="C241">
        <v>0.47</v>
      </c>
      <c r="D241">
        <v>0.46</v>
      </c>
      <c r="E241">
        <v>0.30730000000000002</v>
      </c>
      <c r="F241">
        <v>0.34320000000000001</v>
      </c>
      <c r="G241">
        <v>0.55430000000000001</v>
      </c>
      <c r="H241">
        <v>5142277150</v>
      </c>
      <c r="I241">
        <v>0</v>
      </c>
    </row>
    <row r="242" spans="1:9" x14ac:dyDescent="0.25">
      <c r="A242" s="1">
        <v>45822</v>
      </c>
      <c r="B242">
        <v>0.34320000000000001</v>
      </c>
      <c r="C242">
        <v>0.47</v>
      </c>
      <c r="D242">
        <v>0.46</v>
      </c>
      <c r="E242">
        <v>0.30730000000000002</v>
      </c>
      <c r="F242">
        <v>0.34320000000000001</v>
      </c>
      <c r="G242">
        <v>0.55430000000000001</v>
      </c>
      <c r="H242">
        <v>5142277150</v>
      </c>
      <c r="I242">
        <v>0</v>
      </c>
    </row>
    <row r="243" spans="1:9" x14ac:dyDescent="0.25">
      <c r="A243" s="1">
        <v>45823</v>
      </c>
      <c r="B243">
        <v>0.34320000000000001</v>
      </c>
      <c r="C243">
        <v>0.47</v>
      </c>
      <c r="D243">
        <v>0.46</v>
      </c>
      <c r="E243">
        <v>0.30730000000000002</v>
      </c>
      <c r="F243">
        <v>0.34320000000000001</v>
      </c>
      <c r="G243">
        <v>0.55430000000000001</v>
      </c>
      <c r="H243">
        <v>5142277150</v>
      </c>
      <c r="I243">
        <v>0</v>
      </c>
    </row>
    <row r="244" spans="1:9" x14ac:dyDescent="0.25">
      <c r="A244" s="1">
        <v>45824</v>
      </c>
      <c r="B244">
        <v>0.34320000000000001</v>
      </c>
      <c r="C244">
        <v>0.47</v>
      </c>
      <c r="D244">
        <v>0.46</v>
      </c>
      <c r="E244">
        <v>0.30730000000000002</v>
      </c>
      <c r="F244">
        <v>0.34320000000000001</v>
      </c>
      <c r="G244">
        <v>0.55430000000000001</v>
      </c>
      <c r="H244">
        <v>5142277150</v>
      </c>
      <c r="I244">
        <v>0</v>
      </c>
    </row>
    <row r="245" spans="1:9" x14ac:dyDescent="0.25">
      <c r="A245" s="1">
        <v>45825</v>
      </c>
      <c r="B245">
        <v>0.34320000000000001</v>
      </c>
      <c r="C245">
        <v>0.47</v>
      </c>
      <c r="D245">
        <v>0.46</v>
      </c>
      <c r="E245">
        <v>0.30730000000000002</v>
      </c>
      <c r="F245">
        <v>0.34320000000000001</v>
      </c>
      <c r="G245">
        <v>0.55430000000000001</v>
      </c>
      <c r="H245">
        <v>5142277150</v>
      </c>
      <c r="I245">
        <v>0</v>
      </c>
    </row>
    <row r="246" spans="1:9" x14ac:dyDescent="0.25">
      <c r="A246" s="1">
        <v>45826</v>
      </c>
      <c r="B246">
        <v>0.34320000000000001</v>
      </c>
      <c r="C246">
        <v>0.47</v>
      </c>
      <c r="D246">
        <v>0.46</v>
      </c>
      <c r="E246">
        <v>0.30730000000000002</v>
      </c>
      <c r="F246">
        <v>0.34320000000000001</v>
      </c>
      <c r="G246">
        <v>0.55430000000000001</v>
      </c>
      <c r="H246">
        <v>5142277150</v>
      </c>
      <c r="I246">
        <v>0</v>
      </c>
    </row>
    <row r="247" spans="1:9" x14ac:dyDescent="0.25">
      <c r="A247" s="1">
        <v>45827</v>
      </c>
      <c r="B247">
        <v>0.34320000000000001</v>
      </c>
      <c r="C247">
        <v>0.47</v>
      </c>
      <c r="D247">
        <v>0.46</v>
      </c>
      <c r="E247">
        <v>0.30730000000000002</v>
      </c>
      <c r="F247">
        <v>0.34320000000000001</v>
      </c>
      <c r="G247">
        <v>0.55430000000000001</v>
      </c>
      <c r="H247">
        <v>5142277150</v>
      </c>
      <c r="I247">
        <v>0</v>
      </c>
    </row>
    <row r="248" spans="1:9" x14ac:dyDescent="0.25">
      <c r="A248" s="1">
        <v>45828</v>
      </c>
      <c r="B248">
        <v>0.34320000000000001</v>
      </c>
      <c r="C248">
        <v>0.47</v>
      </c>
      <c r="D248">
        <v>0.46</v>
      </c>
      <c r="E248">
        <v>0.30730000000000002</v>
      </c>
      <c r="F248">
        <v>0.34320000000000001</v>
      </c>
      <c r="G248">
        <v>0.55430000000000001</v>
      </c>
      <c r="H248">
        <v>5142277150</v>
      </c>
      <c r="I248">
        <v>0</v>
      </c>
    </row>
    <row r="249" spans="1:9" x14ac:dyDescent="0.25">
      <c r="A249" s="1">
        <v>45829</v>
      </c>
      <c r="B249">
        <v>0.34320000000000001</v>
      </c>
      <c r="C249">
        <v>0.47</v>
      </c>
      <c r="D249">
        <v>0.46</v>
      </c>
      <c r="E249">
        <v>0.30730000000000002</v>
      </c>
      <c r="F249">
        <v>0.34320000000000001</v>
      </c>
      <c r="G249">
        <v>0.55430000000000001</v>
      </c>
      <c r="H249">
        <v>5142277150</v>
      </c>
      <c r="I249">
        <v>0</v>
      </c>
    </row>
    <row r="250" spans="1:9" x14ac:dyDescent="0.25">
      <c r="A250" s="1">
        <v>45830</v>
      </c>
      <c r="B250">
        <v>0.34320000000000001</v>
      </c>
      <c r="C250">
        <v>0.47</v>
      </c>
      <c r="D250">
        <v>0.46</v>
      </c>
      <c r="E250">
        <v>0.30730000000000002</v>
      </c>
      <c r="F250">
        <v>0.34320000000000001</v>
      </c>
      <c r="G250">
        <v>0.55430000000000001</v>
      </c>
      <c r="H250">
        <v>5142277150</v>
      </c>
      <c r="I250">
        <v>0</v>
      </c>
    </row>
    <row r="251" spans="1:9" x14ac:dyDescent="0.25">
      <c r="A251" s="1">
        <v>45831</v>
      </c>
      <c r="B251">
        <v>0.34320000000000001</v>
      </c>
      <c r="C251">
        <v>0.47</v>
      </c>
      <c r="D251">
        <v>0.46</v>
      </c>
      <c r="E251">
        <v>0.30730000000000002</v>
      </c>
      <c r="F251">
        <v>0.34320000000000001</v>
      </c>
      <c r="G251">
        <v>0.55430000000000001</v>
      </c>
      <c r="H251">
        <v>5142277150</v>
      </c>
      <c r="I251">
        <v>0</v>
      </c>
    </row>
    <row r="252" spans="1:9" x14ac:dyDescent="0.25">
      <c r="A252" s="1">
        <v>45832</v>
      </c>
      <c r="B252">
        <v>0.34320000000000001</v>
      </c>
      <c r="C252">
        <v>0.47</v>
      </c>
      <c r="D252">
        <v>0.46</v>
      </c>
      <c r="E252">
        <v>0.30730000000000002</v>
      </c>
      <c r="F252">
        <v>0.34320000000000001</v>
      </c>
      <c r="G252">
        <v>0.55430000000000001</v>
      </c>
      <c r="H252">
        <v>5142277150</v>
      </c>
      <c r="I252">
        <v>0</v>
      </c>
    </row>
    <row r="253" spans="1:9" x14ac:dyDescent="0.25">
      <c r="A253" s="1">
        <v>45833</v>
      </c>
      <c r="B253">
        <v>0.34320000000000001</v>
      </c>
      <c r="C253">
        <v>0.47</v>
      </c>
      <c r="D253">
        <v>0.46</v>
      </c>
      <c r="E253">
        <v>0.2969</v>
      </c>
      <c r="F253">
        <v>0.34320000000000001</v>
      </c>
      <c r="G253">
        <v>0.55430000000000001</v>
      </c>
      <c r="H253">
        <v>5142277150</v>
      </c>
      <c r="I253">
        <v>0</v>
      </c>
    </row>
    <row r="254" spans="1:9" x14ac:dyDescent="0.25">
      <c r="A254" s="1">
        <v>45834</v>
      </c>
      <c r="B254">
        <v>0.34320000000000001</v>
      </c>
      <c r="C254">
        <v>0.47</v>
      </c>
      <c r="D254">
        <v>0.46</v>
      </c>
      <c r="E254">
        <v>0.3095</v>
      </c>
      <c r="F254">
        <v>0.34320000000000001</v>
      </c>
      <c r="G254">
        <v>0.55430000000000001</v>
      </c>
      <c r="H254">
        <v>5142277150</v>
      </c>
      <c r="I254">
        <v>0</v>
      </c>
    </row>
    <row r="255" spans="1:9" x14ac:dyDescent="0.25">
      <c r="A255" s="1">
        <v>45835</v>
      </c>
      <c r="B255">
        <v>0.34320000000000001</v>
      </c>
      <c r="C255">
        <v>0.47</v>
      </c>
      <c r="D255">
        <v>0.46</v>
      </c>
      <c r="E255">
        <v>0.3095</v>
      </c>
      <c r="F255">
        <v>0.34320000000000001</v>
      </c>
      <c r="G255">
        <v>0.55430000000000001</v>
      </c>
      <c r="H255">
        <v>5142277150</v>
      </c>
      <c r="I255">
        <v>0</v>
      </c>
    </row>
    <row r="256" spans="1:9" x14ac:dyDescent="0.25">
      <c r="A256" s="1">
        <v>45836</v>
      </c>
      <c r="B256">
        <v>0.25779999999999997</v>
      </c>
      <c r="C256">
        <v>0.43</v>
      </c>
      <c r="D256">
        <v>0.46</v>
      </c>
      <c r="E256">
        <v>0.32350000000000001</v>
      </c>
      <c r="F256">
        <v>0.25779999999999997</v>
      </c>
      <c r="G256">
        <v>0.40629999999999999</v>
      </c>
      <c r="H256">
        <v>4815324194</v>
      </c>
      <c r="I256">
        <v>0</v>
      </c>
    </row>
    <row r="257" spans="1:9" x14ac:dyDescent="0.25">
      <c r="A257" s="1">
        <v>45837</v>
      </c>
      <c r="B257">
        <v>0.29270000000000002</v>
      </c>
      <c r="C257">
        <v>0.39</v>
      </c>
      <c r="D257">
        <v>0.49</v>
      </c>
      <c r="E257">
        <v>0.379</v>
      </c>
      <c r="F257">
        <v>0.29270000000000002</v>
      </c>
      <c r="G257">
        <v>0.46179999999999999</v>
      </c>
      <c r="H257">
        <v>4948987725</v>
      </c>
      <c r="I257">
        <v>0</v>
      </c>
    </row>
    <row r="258" spans="1:9" x14ac:dyDescent="0.25">
      <c r="A258" s="1">
        <v>45838</v>
      </c>
      <c r="B258">
        <v>0.32550000000000001</v>
      </c>
      <c r="C258">
        <v>0.34</v>
      </c>
      <c r="D258">
        <v>0.56000000000000005</v>
      </c>
      <c r="E258">
        <v>0.41930000000000001</v>
      </c>
      <c r="F258">
        <v>0.32550000000000001</v>
      </c>
      <c r="G258">
        <v>0.51380000000000003</v>
      </c>
      <c r="H258">
        <v>5074682277</v>
      </c>
      <c r="I258">
        <v>0</v>
      </c>
    </row>
    <row r="259" spans="1:9" x14ac:dyDescent="0.25">
      <c r="A259" s="1">
        <v>45839</v>
      </c>
      <c r="B259">
        <v>0.27779999999999999</v>
      </c>
      <c r="C259">
        <v>0.3</v>
      </c>
      <c r="D259">
        <v>0.67</v>
      </c>
      <c r="E259">
        <v>0.43540000000000001</v>
      </c>
      <c r="F259">
        <v>0.27779999999999999</v>
      </c>
      <c r="G259">
        <v>0.43159999999999998</v>
      </c>
      <c r="H259">
        <v>4892106004</v>
      </c>
      <c r="I259">
        <v>0</v>
      </c>
    </row>
    <row r="260" spans="1:9" x14ac:dyDescent="0.25">
      <c r="A260" s="1">
        <v>45840</v>
      </c>
      <c r="B260">
        <v>0.28170000000000001</v>
      </c>
      <c r="C260">
        <v>0.27</v>
      </c>
      <c r="D260">
        <v>0.69</v>
      </c>
      <c r="E260">
        <v>0.43020000000000003</v>
      </c>
      <c r="F260">
        <v>0.28170000000000001</v>
      </c>
      <c r="G260">
        <v>0.43530000000000002</v>
      </c>
      <c r="H260">
        <v>4906876324</v>
      </c>
      <c r="I260">
        <v>0</v>
      </c>
    </row>
    <row r="261" spans="1:9" x14ac:dyDescent="0.25">
      <c r="A261" s="1">
        <v>45841</v>
      </c>
      <c r="B261">
        <v>0.28170000000000001</v>
      </c>
      <c r="C261">
        <v>0.24</v>
      </c>
      <c r="D261">
        <v>0.63</v>
      </c>
      <c r="E261">
        <v>0.4335</v>
      </c>
      <c r="F261">
        <v>0.28170000000000001</v>
      </c>
      <c r="G261">
        <v>0.43530000000000002</v>
      </c>
      <c r="H261">
        <v>4906876324</v>
      </c>
      <c r="I261">
        <v>0</v>
      </c>
    </row>
    <row r="262" spans="1:9" x14ac:dyDescent="0.25">
      <c r="A262" s="1">
        <v>45842</v>
      </c>
      <c r="B262">
        <v>0.28170000000000001</v>
      </c>
      <c r="C262">
        <v>0.2</v>
      </c>
      <c r="D262">
        <v>0.63</v>
      </c>
      <c r="E262">
        <v>0.4335</v>
      </c>
      <c r="F262">
        <v>0.28170000000000001</v>
      </c>
      <c r="G262">
        <v>0.43530000000000002</v>
      </c>
      <c r="H262">
        <v>4906876324</v>
      </c>
      <c r="I262">
        <v>0</v>
      </c>
    </row>
    <row r="263" spans="1:9" x14ac:dyDescent="0.25">
      <c r="A263" s="1">
        <v>45843</v>
      </c>
      <c r="B263">
        <v>0.28170000000000001</v>
      </c>
      <c r="C263">
        <v>0.2</v>
      </c>
      <c r="D263">
        <v>0.63</v>
      </c>
      <c r="E263">
        <v>0.4335</v>
      </c>
      <c r="F263">
        <v>0.28170000000000001</v>
      </c>
      <c r="G263">
        <v>0.43530000000000002</v>
      </c>
      <c r="H263">
        <v>4906876324</v>
      </c>
      <c r="I263">
        <v>0</v>
      </c>
    </row>
    <row r="264" spans="1:9" x14ac:dyDescent="0.25">
      <c r="A264" s="1">
        <v>45844</v>
      </c>
      <c r="B264">
        <v>0.28170000000000001</v>
      </c>
      <c r="C264">
        <v>0.2</v>
      </c>
      <c r="D264">
        <v>0.63</v>
      </c>
      <c r="E264">
        <v>0.4335</v>
      </c>
      <c r="F264">
        <v>0.28170000000000001</v>
      </c>
      <c r="G264">
        <v>0.43530000000000002</v>
      </c>
      <c r="H264">
        <v>4906876324</v>
      </c>
      <c r="I264">
        <v>0</v>
      </c>
    </row>
    <row r="265" spans="1:9" x14ac:dyDescent="0.25">
      <c r="A265" s="1">
        <v>45845</v>
      </c>
      <c r="B265">
        <v>0.2999</v>
      </c>
      <c r="C265">
        <v>0.2</v>
      </c>
      <c r="D265">
        <v>0.63</v>
      </c>
      <c r="E265">
        <v>0.38290000000000002</v>
      </c>
      <c r="F265">
        <v>0.2999</v>
      </c>
      <c r="G265">
        <v>0.46210000000000001</v>
      </c>
      <c r="H265">
        <v>4976455489</v>
      </c>
      <c r="I265">
        <v>0</v>
      </c>
    </row>
    <row r="266" spans="1:9" x14ac:dyDescent="0.25">
      <c r="A266" s="1">
        <v>45846</v>
      </c>
      <c r="B266">
        <v>0.3009</v>
      </c>
      <c r="C266">
        <v>0.2</v>
      </c>
      <c r="D266">
        <v>0.59</v>
      </c>
      <c r="E266">
        <v>0.36209999999999998</v>
      </c>
      <c r="F266">
        <v>0.3009</v>
      </c>
      <c r="G266">
        <v>0.46100000000000002</v>
      </c>
      <c r="H266">
        <v>4980520551</v>
      </c>
      <c r="I266">
        <v>0</v>
      </c>
    </row>
    <row r="267" spans="1:9" x14ac:dyDescent="0.25">
      <c r="A267" s="1">
        <v>45847</v>
      </c>
      <c r="B267">
        <v>0.3009</v>
      </c>
      <c r="C267">
        <v>0.17</v>
      </c>
      <c r="D267">
        <v>0.56999999999999995</v>
      </c>
      <c r="E267">
        <v>0.3745</v>
      </c>
      <c r="F267">
        <v>0.3009</v>
      </c>
      <c r="G267">
        <v>0.46100000000000002</v>
      </c>
      <c r="H267">
        <v>4980520551</v>
      </c>
      <c r="I267">
        <v>0</v>
      </c>
    </row>
    <row r="268" spans="1:9" x14ac:dyDescent="0.25">
      <c r="A268" s="1">
        <v>45848</v>
      </c>
      <c r="B268">
        <v>0.3009</v>
      </c>
      <c r="C268">
        <v>0.17</v>
      </c>
      <c r="D268">
        <v>0.57999999999999996</v>
      </c>
      <c r="E268">
        <v>0.38159999999999999</v>
      </c>
      <c r="F268">
        <v>0.3009</v>
      </c>
      <c r="G268">
        <v>0.46100000000000002</v>
      </c>
      <c r="H268">
        <v>4980520551</v>
      </c>
      <c r="I268">
        <v>0</v>
      </c>
    </row>
    <row r="269" spans="1:9" x14ac:dyDescent="0.25">
      <c r="A269" s="1">
        <v>45849</v>
      </c>
      <c r="B269">
        <v>0.31069999999999998</v>
      </c>
      <c r="C269">
        <v>0.17</v>
      </c>
      <c r="D269">
        <v>0.57999999999999996</v>
      </c>
      <c r="E269">
        <v>0.38159999999999999</v>
      </c>
      <c r="F269">
        <v>0.31069999999999998</v>
      </c>
      <c r="G269">
        <v>0.47389999999999999</v>
      </c>
      <c r="H269">
        <v>5018000274</v>
      </c>
      <c r="I269">
        <v>0</v>
      </c>
    </row>
    <row r="270" spans="1:9" x14ac:dyDescent="0.25">
      <c r="A270" s="1">
        <v>45850</v>
      </c>
      <c r="B270">
        <v>0.33</v>
      </c>
      <c r="C270">
        <v>0.2</v>
      </c>
      <c r="D270">
        <v>0.57999999999999996</v>
      </c>
      <c r="E270">
        <v>0.3629</v>
      </c>
      <c r="F270">
        <v>0.33</v>
      </c>
      <c r="G270">
        <v>0.502</v>
      </c>
      <c r="H270">
        <v>5091823216</v>
      </c>
      <c r="I270">
        <v>0</v>
      </c>
    </row>
    <row r="271" spans="1:9" x14ac:dyDescent="0.25">
      <c r="A271" s="1">
        <v>45851</v>
      </c>
      <c r="B271">
        <v>0.31190000000000001</v>
      </c>
      <c r="C271">
        <v>0.21</v>
      </c>
      <c r="D271">
        <v>0.56999999999999995</v>
      </c>
      <c r="E271">
        <v>0.39119999999999999</v>
      </c>
      <c r="F271">
        <v>0.31190000000000001</v>
      </c>
      <c r="G271">
        <v>0.47010000000000002</v>
      </c>
      <c r="H271">
        <v>5022575743</v>
      </c>
      <c r="I271">
        <v>0</v>
      </c>
    </row>
    <row r="272" spans="1:9" x14ac:dyDescent="0.25">
      <c r="A272" s="1">
        <v>45852</v>
      </c>
      <c r="B272">
        <v>0.34429999999999999</v>
      </c>
      <c r="C272">
        <v>0.23</v>
      </c>
      <c r="D272">
        <v>0.59</v>
      </c>
      <c r="E272">
        <v>0.38479999999999998</v>
      </c>
      <c r="F272">
        <v>0.34429999999999999</v>
      </c>
      <c r="G272">
        <v>0.51849999999999996</v>
      </c>
      <c r="H272">
        <v>5146375580</v>
      </c>
      <c r="I272">
        <v>0</v>
      </c>
    </row>
    <row r="273" spans="1:9" x14ac:dyDescent="0.25">
      <c r="A273" s="1">
        <v>45853</v>
      </c>
      <c r="B273">
        <v>0.3957</v>
      </c>
      <c r="C273">
        <v>0.25</v>
      </c>
      <c r="D273">
        <v>0.64</v>
      </c>
      <c r="E273">
        <v>0.38479999999999998</v>
      </c>
      <c r="F273">
        <v>0.3957</v>
      </c>
      <c r="G273">
        <v>0.59760000000000002</v>
      </c>
      <c r="H273">
        <v>5343502734</v>
      </c>
      <c r="I273">
        <v>0</v>
      </c>
    </row>
    <row r="274" spans="1:9" x14ac:dyDescent="0.25">
      <c r="A274" s="1">
        <v>45854</v>
      </c>
      <c r="B274">
        <v>0.4052</v>
      </c>
      <c r="C274">
        <v>0.28000000000000003</v>
      </c>
      <c r="D274">
        <v>0.62</v>
      </c>
      <c r="E274">
        <v>0.38479999999999998</v>
      </c>
      <c r="F274">
        <v>0.4052</v>
      </c>
      <c r="G274">
        <v>0.60899999999999999</v>
      </c>
      <c r="H274">
        <v>5379748892</v>
      </c>
      <c r="I274">
        <v>0</v>
      </c>
    </row>
    <row r="275" spans="1:9" x14ac:dyDescent="0.25">
      <c r="A275" s="1">
        <v>45855</v>
      </c>
      <c r="B275">
        <v>0.4052</v>
      </c>
      <c r="C275">
        <v>0.28000000000000003</v>
      </c>
      <c r="D275">
        <v>0.61</v>
      </c>
      <c r="E275">
        <v>0.38479999999999998</v>
      </c>
      <c r="F275">
        <v>0.4052</v>
      </c>
      <c r="G275">
        <v>0.60899999999999999</v>
      </c>
      <c r="H275">
        <v>5379748892</v>
      </c>
      <c r="I275">
        <v>0</v>
      </c>
    </row>
    <row r="276" spans="1:9" x14ac:dyDescent="0.25">
      <c r="A276" s="1">
        <v>45856</v>
      </c>
      <c r="B276">
        <v>0.4052</v>
      </c>
      <c r="C276">
        <v>0.28000000000000003</v>
      </c>
      <c r="D276">
        <v>0.61</v>
      </c>
      <c r="E276">
        <v>0.38479999999999998</v>
      </c>
      <c r="F276">
        <v>0.4052</v>
      </c>
      <c r="G276">
        <v>0.60899999999999999</v>
      </c>
      <c r="H276">
        <v>5379748892</v>
      </c>
      <c r="I276">
        <v>0</v>
      </c>
    </row>
    <row r="277" spans="1:9" x14ac:dyDescent="0.25">
      <c r="A277" s="1">
        <v>45857</v>
      </c>
      <c r="B277">
        <v>0.39410000000000001</v>
      </c>
      <c r="C277">
        <v>0.31</v>
      </c>
      <c r="D277">
        <v>0.61</v>
      </c>
      <c r="E277">
        <v>0.38479999999999998</v>
      </c>
      <c r="F277">
        <v>0.39410000000000001</v>
      </c>
      <c r="G277">
        <v>0.58760000000000001</v>
      </c>
      <c r="H277">
        <v>5337267809</v>
      </c>
      <c r="I277">
        <v>0</v>
      </c>
    </row>
    <row r="278" spans="1:9" x14ac:dyDescent="0.25">
      <c r="A278" s="1">
        <v>45858</v>
      </c>
      <c r="B278">
        <v>0.38129999999999997</v>
      </c>
      <c r="C278">
        <v>0.31</v>
      </c>
      <c r="D278">
        <v>0.6</v>
      </c>
      <c r="E278">
        <v>0.38479999999999998</v>
      </c>
      <c r="F278">
        <v>0.38129999999999997</v>
      </c>
      <c r="G278">
        <v>0.56379999999999997</v>
      </c>
      <c r="H278">
        <v>5288054960</v>
      </c>
      <c r="I278">
        <v>0</v>
      </c>
    </row>
    <row r="279" spans="1:9" x14ac:dyDescent="0.25">
      <c r="A279" s="1">
        <v>45859</v>
      </c>
      <c r="B279">
        <v>0.38969999999999999</v>
      </c>
      <c r="C279">
        <v>0.34</v>
      </c>
      <c r="D279">
        <v>0.57999999999999996</v>
      </c>
      <c r="E279">
        <v>0.38479999999999998</v>
      </c>
      <c r="F279">
        <v>0.38969999999999999</v>
      </c>
      <c r="G279">
        <v>0.5736</v>
      </c>
      <c r="H279">
        <v>5320511699</v>
      </c>
      <c r="I279">
        <v>0</v>
      </c>
    </row>
    <row r="280" spans="1:9" x14ac:dyDescent="0.25">
      <c r="A280" s="1">
        <v>45860</v>
      </c>
      <c r="B280">
        <v>0.39410000000000001</v>
      </c>
      <c r="C280">
        <v>0.35</v>
      </c>
      <c r="D280">
        <v>0.6</v>
      </c>
      <c r="E280">
        <v>0.38479999999999998</v>
      </c>
      <c r="F280">
        <v>0.39410000000000001</v>
      </c>
      <c r="G280">
        <v>0.57679999999999998</v>
      </c>
      <c r="H280">
        <v>5337180320</v>
      </c>
      <c r="I280">
        <v>0</v>
      </c>
    </row>
    <row r="281" spans="1:9" x14ac:dyDescent="0.25">
      <c r="A281" s="1">
        <v>45861</v>
      </c>
      <c r="B281">
        <v>0.39500000000000002</v>
      </c>
      <c r="C281">
        <v>0.35</v>
      </c>
      <c r="D281">
        <v>0.62</v>
      </c>
      <c r="E281">
        <v>0.38479999999999998</v>
      </c>
      <c r="F281">
        <v>0.39500000000000002</v>
      </c>
      <c r="G281">
        <v>0.57479999999999998</v>
      </c>
      <c r="H281">
        <v>5340788188</v>
      </c>
      <c r="I281">
        <v>0</v>
      </c>
    </row>
    <row r="282" spans="1:9" x14ac:dyDescent="0.25">
      <c r="A282" s="1">
        <v>45862</v>
      </c>
      <c r="B282">
        <v>0.39500000000000002</v>
      </c>
      <c r="C282">
        <v>0.35</v>
      </c>
      <c r="D282">
        <v>0.62</v>
      </c>
      <c r="E282">
        <v>0.38479999999999998</v>
      </c>
      <c r="F282">
        <v>0.39500000000000002</v>
      </c>
      <c r="G282">
        <v>0.57479999999999998</v>
      </c>
      <c r="H282">
        <v>5340788188</v>
      </c>
      <c r="I282">
        <v>0</v>
      </c>
    </row>
    <row r="283" spans="1:9" x14ac:dyDescent="0.25">
      <c r="A283" s="1">
        <v>45863</v>
      </c>
      <c r="B283">
        <v>0.39500000000000002</v>
      </c>
      <c r="C283">
        <v>0.35</v>
      </c>
      <c r="D283">
        <v>0.62</v>
      </c>
      <c r="E283">
        <v>0.38479999999999998</v>
      </c>
      <c r="F283">
        <v>0.39500000000000002</v>
      </c>
      <c r="G283">
        <v>0.57479999999999998</v>
      </c>
      <c r="H283">
        <v>5340788188</v>
      </c>
      <c r="I283">
        <v>0</v>
      </c>
    </row>
    <row r="284" spans="1:9" x14ac:dyDescent="0.25">
      <c r="A284" s="1">
        <v>45864</v>
      </c>
      <c r="B284">
        <v>0.3891</v>
      </c>
      <c r="C284">
        <v>0.38</v>
      </c>
      <c r="D284">
        <v>0.62</v>
      </c>
      <c r="E284">
        <v>0.38479999999999998</v>
      </c>
      <c r="F284">
        <v>0.3891</v>
      </c>
      <c r="G284">
        <v>0.56230000000000002</v>
      </c>
      <c r="H284">
        <v>5318030781</v>
      </c>
      <c r="I284">
        <v>0</v>
      </c>
    </row>
    <row r="285" spans="1:9" x14ac:dyDescent="0.25">
      <c r="A285" s="1">
        <v>45865</v>
      </c>
      <c r="B285">
        <v>0.38219999999999998</v>
      </c>
      <c r="C285">
        <v>0.37</v>
      </c>
      <c r="D285">
        <v>0.6</v>
      </c>
      <c r="E285">
        <v>0.38479999999999998</v>
      </c>
      <c r="F285">
        <v>0.38219999999999998</v>
      </c>
      <c r="G285">
        <v>0.5484</v>
      </c>
      <c r="H285">
        <v>5291538743</v>
      </c>
      <c r="I285">
        <v>0</v>
      </c>
    </row>
    <row r="286" spans="1:9" x14ac:dyDescent="0.25">
      <c r="A286" s="1">
        <v>45866</v>
      </c>
      <c r="B286">
        <v>0.3861</v>
      </c>
      <c r="C286">
        <v>0.35</v>
      </c>
      <c r="D286">
        <v>0.59</v>
      </c>
      <c r="E286">
        <v>0.38479999999999998</v>
      </c>
      <c r="F286">
        <v>0.3861</v>
      </c>
      <c r="G286">
        <v>0.55110000000000003</v>
      </c>
      <c r="H286">
        <v>5306427888</v>
      </c>
      <c r="I286">
        <v>0</v>
      </c>
    </row>
    <row r="287" spans="1:9" x14ac:dyDescent="0.25">
      <c r="A287" s="1">
        <v>45867</v>
      </c>
      <c r="B287">
        <v>0.38640000000000002</v>
      </c>
      <c r="C287">
        <v>0.32</v>
      </c>
      <c r="D287">
        <v>0.62</v>
      </c>
      <c r="E287">
        <v>0.38479999999999998</v>
      </c>
      <c r="F287">
        <v>0.38640000000000002</v>
      </c>
      <c r="G287">
        <v>0.54830000000000001</v>
      </c>
      <c r="H287">
        <v>5307603623</v>
      </c>
      <c r="I287">
        <v>0</v>
      </c>
    </row>
    <row r="288" spans="1:9" x14ac:dyDescent="0.25">
      <c r="A288" s="1">
        <v>45868</v>
      </c>
      <c r="B288">
        <v>0.38890000000000002</v>
      </c>
      <c r="C288">
        <v>0.28000000000000003</v>
      </c>
      <c r="D288">
        <v>0.62</v>
      </c>
      <c r="E288">
        <v>0.40849999999999997</v>
      </c>
      <c r="F288">
        <v>0.38890000000000002</v>
      </c>
      <c r="G288">
        <v>0.54879999999999995</v>
      </c>
      <c r="H288">
        <v>5317189866</v>
      </c>
      <c r="I288">
        <v>0</v>
      </c>
    </row>
    <row r="289" spans="1:9" x14ac:dyDescent="0.25">
      <c r="A289" s="1">
        <v>45869</v>
      </c>
      <c r="B289">
        <v>0.38890000000000002</v>
      </c>
      <c r="C289">
        <v>0.28000000000000003</v>
      </c>
      <c r="D289">
        <v>0.62</v>
      </c>
      <c r="E289">
        <v>0.40849999999999997</v>
      </c>
      <c r="F289">
        <v>0.38890000000000002</v>
      </c>
      <c r="G289">
        <v>0.54879999999999995</v>
      </c>
      <c r="H289">
        <v>5317189866</v>
      </c>
      <c r="I289">
        <v>0</v>
      </c>
    </row>
    <row r="290" spans="1:9" x14ac:dyDescent="0.25">
      <c r="A290" s="1">
        <v>45870</v>
      </c>
      <c r="B290">
        <v>0.38890000000000002</v>
      </c>
      <c r="C290">
        <v>0.28000000000000003</v>
      </c>
      <c r="D290">
        <v>0.62</v>
      </c>
      <c r="E290">
        <v>0.44440000000000002</v>
      </c>
      <c r="F290">
        <v>0.38890000000000002</v>
      </c>
      <c r="G290">
        <v>0.54879999999999995</v>
      </c>
      <c r="H290">
        <v>5317189866</v>
      </c>
      <c r="I290">
        <v>0</v>
      </c>
    </row>
    <row r="291" spans="1:9" x14ac:dyDescent="0.25">
      <c r="A291" s="1">
        <v>45871</v>
      </c>
      <c r="B291">
        <v>0.39560000000000001</v>
      </c>
      <c r="C291">
        <v>0.27</v>
      </c>
      <c r="D291">
        <v>0.62</v>
      </c>
      <c r="E291">
        <v>0.4632</v>
      </c>
      <c r="F291">
        <v>0.39560000000000001</v>
      </c>
      <c r="G291">
        <v>0.55549999999999999</v>
      </c>
      <c r="H291">
        <v>5342949661</v>
      </c>
      <c r="I291">
        <v>0</v>
      </c>
    </row>
    <row r="292" spans="1:9" x14ac:dyDescent="0.25">
      <c r="A292" s="1">
        <v>45872</v>
      </c>
      <c r="B292">
        <v>0.42220000000000002</v>
      </c>
      <c r="C292">
        <v>0.25</v>
      </c>
      <c r="D292">
        <v>0.68</v>
      </c>
      <c r="E292">
        <v>0.4632</v>
      </c>
      <c r="F292">
        <v>0.42220000000000002</v>
      </c>
      <c r="G292">
        <v>0.59140000000000004</v>
      </c>
      <c r="H292">
        <v>5444682598</v>
      </c>
      <c r="I292">
        <v>0</v>
      </c>
    </row>
    <row r="293" spans="1:9" x14ac:dyDescent="0.25">
      <c r="A293" s="1">
        <v>45873</v>
      </c>
      <c r="B293">
        <v>0.43099999999999999</v>
      </c>
      <c r="C293">
        <v>0.26</v>
      </c>
      <c r="D293">
        <v>0.71</v>
      </c>
      <c r="E293">
        <v>0.4632</v>
      </c>
      <c r="F293">
        <v>0.43099999999999999</v>
      </c>
      <c r="G293">
        <v>0.60089999999999999</v>
      </c>
      <c r="H293">
        <v>5478382951</v>
      </c>
      <c r="I293">
        <v>0</v>
      </c>
    </row>
    <row r="294" spans="1:9" x14ac:dyDescent="0.25">
      <c r="A294" s="1">
        <v>45874</v>
      </c>
      <c r="B294">
        <v>0.45600000000000002</v>
      </c>
      <c r="C294">
        <v>0.28999999999999998</v>
      </c>
      <c r="D294">
        <v>0.72</v>
      </c>
      <c r="E294">
        <v>0.4632</v>
      </c>
      <c r="F294">
        <v>0.45600000000000002</v>
      </c>
      <c r="G294">
        <v>0.63390000000000002</v>
      </c>
      <c r="H294">
        <v>5574056444</v>
      </c>
      <c r="I294">
        <v>0</v>
      </c>
    </row>
    <row r="295" spans="1:9" x14ac:dyDescent="0.25">
      <c r="A295" s="1">
        <v>45875</v>
      </c>
      <c r="B295">
        <v>0.45729999999999998</v>
      </c>
      <c r="C295">
        <v>0.25</v>
      </c>
      <c r="D295">
        <v>0.72</v>
      </c>
      <c r="E295">
        <v>0.4632</v>
      </c>
      <c r="F295">
        <v>0.45729999999999998</v>
      </c>
      <c r="G295">
        <v>0.63219999999999998</v>
      </c>
      <c r="H295">
        <v>5579233600</v>
      </c>
      <c r="I295">
        <v>0</v>
      </c>
    </row>
    <row r="296" spans="1:9" x14ac:dyDescent="0.25">
      <c r="A296" s="1">
        <v>45876</v>
      </c>
      <c r="B296">
        <v>0.45729999999999998</v>
      </c>
      <c r="C296">
        <v>0.25</v>
      </c>
      <c r="D296">
        <v>0.7</v>
      </c>
      <c r="E296">
        <v>0.4632</v>
      </c>
      <c r="F296">
        <v>0.45729999999999998</v>
      </c>
      <c r="G296">
        <v>0.63219999999999998</v>
      </c>
      <c r="H296">
        <v>5579233600</v>
      </c>
      <c r="I296">
        <v>0</v>
      </c>
    </row>
    <row r="297" spans="1:9" x14ac:dyDescent="0.25">
      <c r="A297" s="1">
        <v>45877</v>
      </c>
      <c r="B297">
        <v>0.45729999999999998</v>
      </c>
      <c r="C297">
        <v>0.25</v>
      </c>
      <c r="D297">
        <v>0.7</v>
      </c>
      <c r="E297">
        <v>0.4632</v>
      </c>
      <c r="F297">
        <v>0.45729999999999998</v>
      </c>
      <c r="G297">
        <v>0.63219999999999998</v>
      </c>
      <c r="H297">
        <v>5579233600</v>
      </c>
      <c r="I297">
        <v>0</v>
      </c>
    </row>
    <row r="298" spans="1:9" x14ac:dyDescent="0.25">
      <c r="A298" s="1">
        <v>45878</v>
      </c>
      <c r="B298">
        <v>0.44900000000000001</v>
      </c>
      <c r="C298">
        <v>0.25</v>
      </c>
      <c r="D298">
        <v>0.7</v>
      </c>
      <c r="E298">
        <v>0.4632</v>
      </c>
      <c r="F298">
        <v>0.44900000000000001</v>
      </c>
      <c r="G298">
        <v>0.61299999999999999</v>
      </c>
      <c r="H298">
        <v>5547553591</v>
      </c>
      <c r="I298">
        <v>0</v>
      </c>
    </row>
    <row r="299" spans="1:9" x14ac:dyDescent="0.25">
      <c r="A299" s="1">
        <v>45879</v>
      </c>
      <c r="B299">
        <v>0.44080000000000003</v>
      </c>
      <c r="C299">
        <v>0.25</v>
      </c>
      <c r="D299">
        <v>0.7</v>
      </c>
      <c r="E299">
        <v>0.4632</v>
      </c>
      <c r="F299">
        <v>0.44080000000000003</v>
      </c>
      <c r="G299">
        <v>0.59770000000000001</v>
      </c>
      <c r="H299">
        <v>5515802002</v>
      </c>
      <c r="I299">
        <v>0</v>
      </c>
    </row>
    <row r="300" spans="1:9" x14ac:dyDescent="0.25">
      <c r="A300" s="1">
        <v>45880</v>
      </c>
      <c r="B300">
        <v>0.45900000000000002</v>
      </c>
      <c r="C300">
        <v>0.25</v>
      </c>
      <c r="D300">
        <v>0.7</v>
      </c>
      <c r="E300">
        <v>0.4632</v>
      </c>
      <c r="F300">
        <v>0.45900000000000002</v>
      </c>
      <c r="G300">
        <v>0.62</v>
      </c>
      <c r="H300">
        <v>5585482729</v>
      </c>
      <c r="I300">
        <v>0</v>
      </c>
    </row>
    <row r="301" spans="1:9" x14ac:dyDescent="0.25">
      <c r="A301" s="1">
        <v>45881</v>
      </c>
      <c r="B301">
        <v>0.46110000000000001</v>
      </c>
      <c r="C301">
        <v>0.25</v>
      </c>
      <c r="D301">
        <v>0.7</v>
      </c>
      <c r="E301">
        <v>0.4632</v>
      </c>
      <c r="F301">
        <v>0.46110000000000001</v>
      </c>
      <c r="G301">
        <v>0.61950000000000005</v>
      </c>
      <c r="H301">
        <v>5593715570</v>
      </c>
      <c r="I301">
        <v>0</v>
      </c>
    </row>
    <row r="302" spans="1:9" x14ac:dyDescent="0.25">
      <c r="A302" s="1">
        <v>45882</v>
      </c>
      <c r="B302">
        <v>0.46329999999999999</v>
      </c>
    </row>
    <row r="303" spans="1:9" x14ac:dyDescent="0.25">
      <c r="A303" s="1">
        <v>45883</v>
      </c>
      <c r="B303">
        <v>0.46329999999999999</v>
      </c>
    </row>
    <row r="304" spans="1:9" x14ac:dyDescent="0.25">
      <c r="A304" s="1">
        <v>45884</v>
      </c>
      <c r="B304">
        <v>0.46329999999999999</v>
      </c>
    </row>
    <row r="305" spans="1:12" x14ac:dyDescent="0.25">
      <c r="A305" s="1">
        <v>45885</v>
      </c>
      <c r="B305">
        <v>0.46539999999999998</v>
      </c>
    </row>
    <row r="306" spans="1:12" x14ac:dyDescent="0.25">
      <c r="A306" s="1">
        <v>45886</v>
      </c>
      <c r="B306">
        <v>0.46760000000000002</v>
      </c>
      <c r="J306">
        <f>(1+B306)/(1+B2)</f>
        <v>1.4797338173018755</v>
      </c>
      <c r="K306">
        <f>(1+B364)/(1+B306)-1</f>
        <v>6.7388934314527082E-2</v>
      </c>
      <c r="L306">
        <f>(1+K306)^(365/(A364-A306))-1</f>
        <v>0.50743174453516215</v>
      </c>
    </row>
    <row r="307" spans="1:12" x14ac:dyDescent="0.25">
      <c r="A307" s="1">
        <v>45887</v>
      </c>
      <c r="B307">
        <v>0.46970000000000001</v>
      </c>
      <c r="J307">
        <f>J306^(365/(A306-A2))-1</f>
        <v>0.60078233033104445</v>
      </c>
    </row>
    <row r="308" spans="1:12" x14ac:dyDescent="0.25">
      <c r="A308" s="1">
        <v>45888</v>
      </c>
      <c r="B308">
        <v>0.47189999999999999</v>
      </c>
    </row>
    <row r="309" spans="1:12" x14ac:dyDescent="0.25">
      <c r="A309" s="1">
        <v>45889</v>
      </c>
      <c r="B309">
        <v>0.47399999999999998</v>
      </c>
    </row>
    <row r="310" spans="1:12" x14ac:dyDescent="0.25">
      <c r="A310" s="1">
        <v>45890</v>
      </c>
      <c r="B310">
        <v>0.47620000000000001</v>
      </c>
    </row>
    <row r="311" spans="1:12" x14ac:dyDescent="0.25">
      <c r="A311" s="1">
        <v>45891</v>
      </c>
      <c r="B311">
        <v>0.47620000000000001</v>
      </c>
    </row>
    <row r="312" spans="1:12" x14ac:dyDescent="0.25">
      <c r="A312" s="1">
        <v>45892</v>
      </c>
      <c r="B312">
        <v>0.4783</v>
      </c>
    </row>
    <row r="313" spans="1:12" x14ac:dyDescent="0.25">
      <c r="A313" s="1">
        <v>45893</v>
      </c>
      <c r="B313">
        <v>0.4783</v>
      </c>
    </row>
    <row r="314" spans="1:12" x14ac:dyDescent="0.25">
      <c r="A314" s="1">
        <v>45894</v>
      </c>
      <c r="B314">
        <v>0.48049999999999998</v>
      </c>
    </row>
    <row r="315" spans="1:12" x14ac:dyDescent="0.25">
      <c r="A315" s="1">
        <v>45895</v>
      </c>
      <c r="B315">
        <v>0.48259999999999997</v>
      </c>
    </row>
    <row r="316" spans="1:12" x14ac:dyDescent="0.25">
      <c r="A316" s="1">
        <v>45896</v>
      </c>
      <c r="B316">
        <v>0.48480000000000001</v>
      </c>
    </row>
    <row r="317" spans="1:12" x14ac:dyDescent="0.25">
      <c r="A317" s="1">
        <v>45897</v>
      </c>
      <c r="B317">
        <v>0.4869</v>
      </c>
    </row>
    <row r="318" spans="1:12" x14ac:dyDescent="0.25">
      <c r="A318" s="1">
        <v>45898</v>
      </c>
      <c r="B318">
        <v>0.4869</v>
      </c>
    </row>
    <row r="319" spans="1:12" x14ac:dyDescent="0.25">
      <c r="A319" s="1">
        <v>45899</v>
      </c>
      <c r="B319">
        <v>0.48909999999999998</v>
      </c>
    </row>
    <row r="320" spans="1:12" x14ac:dyDescent="0.25">
      <c r="A320" s="1">
        <v>45900</v>
      </c>
      <c r="B320">
        <v>0.49120000000000003</v>
      </c>
    </row>
    <row r="321" spans="1:2" x14ac:dyDescent="0.25">
      <c r="A321" s="1">
        <v>45901</v>
      </c>
      <c r="B321">
        <v>0.49120000000000003</v>
      </c>
    </row>
    <row r="322" spans="1:2" x14ac:dyDescent="0.25">
      <c r="A322" s="1">
        <v>45902</v>
      </c>
      <c r="B322">
        <v>0.49340000000000001</v>
      </c>
    </row>
    <row r="323" spans="1:2" x14ac:dyDescent="0.25">
      <c r="A323" s="1">
        <v>45903</v>
      </c>
      <c r="B323">
        <v>0.4955</v>
      </c>
    </row>
    <row r="324" spans="1:2" x14ac:dyDescent="0.25">
      <c r="A324" s="1">
        <v>45904</v>
      </c>
      <c r="B324">
        <v>0.49769999999999998</v>
      </c>
    </row>
    <row r="325" spans="1:2" x14ac:dyDescent="0.25">
      <c r="A325" s="1">
        <v>45905</v>
      </c>
      <c r="B325">
        <v>0.49769999999999998</v>
      </c>
    </row>
    <row r="326" spans="1:2" x14ac:dyDescent="0.25">
      <c r="A326" s="1">
        <v>45906</v>
      </c>
      <c r="B326">
        <v>0.49980000000000002</v>
      </c>
    </row>
    <row r="327" spans="1:2" x14ac:dyDescent="0.25">
      <c r="A327" s="1">
        <v>45907</v>
      </c>
      <c r="B327">
        <v>0.502</v>
      </c>
    </row>
    <row r="328" spans="1:2" x14ac:dyDescent="0.25">
      <c r="A328" s="1">
        <v>45908</v>
      </c>
      <c r="B328">
        <v>0.50409999999999999</v>
      </c>
    </row>
    <row r="329" spans="1:2" x14ac:dyDescent="0.25">
      <c r="A329" s="1">
        <v>45909</v>
      </c>
      <c r="B329">
        <v>0.50629999999999997</v>
      </c>
    </row>
    <row r="330" spans="1:2" x14ac:dyDescent="0.25">
      <c r="A330" s="1">
        <v>45910</v>
      </c>
      <c r="B330">
        <v>0.50629999999999997</v>
      </c>
    </row>
    <row r="331" spans="1:2" x14ac:dyDescent="0.25">
      <c r="A331" s="1">
        <v>45911</v>
      </c>
      <c r="B331">
        <v>0.50839999999999996</v>
      </c>
    </row>
    <row r="332" spans="1:2" x14ac:dyDescent="0.25">
      <c r="A332" s="1">
        <v>45912</v>
      </c>
      <c r="B332">
        <v>0.50839999999999996</v>
      </c>
    </row>
    <row r="333" spans="1:2" x14ac:dyDescent="0.25">
      <c r="A333" s="1">
        <v>45913</v>
      </c>
      <c r="B333">
        <v>0.51060000000000005</v>
      </c>
    </row>
    <row r="334" spans="1:2" x14ac:dyDescent="0.25">
      <c r="A334" s="1">
        <v>45914</v>
      </c>
      <c r="B334">
        <v>0.51270000000000004</v>
      </c>
    </row>
    <row r="335" spans="1:2" x14ac:dyDescent="0.25">
      <c r="A335" s="1">
        <v>45915</v>
      </c>
      <c r="B335">
        <v>0.51490000000000002</v>
      </c>
    </row>
    <row r="336" spans="1:2" x14ac:dyDescent="0.25">
      <c r="A336" s="1">
        <v>45916</v>
      </c>
      <c r="B336">
        <v>0.51700000000000002</v>
      </c>
    </row>
    <row r="337" spans="1:2" x14ac:dyDescent="0.25">
      <c r="A337" s="1">
        <v>45917</v>
      </c>
      <c r="B337">
        <v>0.51919999999999999</v>
      </c>
    </row>
    <row r="338" spans="1:2" x14ac:dyDescent="0.25">
      <c r="A338" s="1">
        <v>45918</v>
      </c>
      <c r="B338">
        <v>0.52129999999999999</v>
      </c>
    </row>
    <row r="339" spans="1:2" x14ac:dyDescent="0.25">
      <c r="A339" s="1">
        <v>45919</v>
      </c>
      <c r="B339">
        <v>0.52129999999999999</v>
      </c>
    </row>
    <row r="340" spans="1:2" x14ac:dyDescent="0.25">
      <c r="A340" s="1">
        <v>45920</v>
      </c>
      <c r="B340">
        <v>0.52349999999999997</v>
      </c>
    </row>
    <row r="341" spans="1:2" x14ac:dyDescent="0.25">
      <c r="A341" s="1">
        <v>45921</v>
      </c>
      <c r="B341">
        <v>0.52559999999999996</v>
      </c>
    </row>
    <row r="342" spans="1:2" x14ac:dyDescent="0.25">
      <c r="A342" s="1">
        <v>45922</v>
      </c>
      <c r="B342">
        <v>0.52780000000000005</v>
      </c>
    </row>
    <row r="343" spans="1:2" x14ac:dyDescent="0.25">
      <c r="A343" s="1">
        <v>45923</v>
      </c>
      <c r="B343">
        <v>0.52990000000000004</v>
      </c>
    </row>
    <row r="344" spans="1:2" x14ac:dyDescent="0.25">
      <c r="A344" s="1">
        <v>45924</v>
      </c>
      <c r="B344">
        <v>0.53210000000000002</v>
      </c>
    </row>
    <row r="345" spans="1:2" x14ac:dyDescent="0.25">
      <c r="A345" s="1">
        <v>45925</v>
      </c>
      <c r="B345">
        <v>0.53420000000000001</v>
      </c>
    </row>
    <row r="346" spans="1:2" x14ac:dyDescent="0.25">
      <c r="A346" s="1">
        <v>45926</v>
      </c>
      <c r="B346">
        <v>0.53420000000000001</v>
      </c>
    </row>
    <row r="347" spans="1:2" x14ac:dyDescent="0.25">
      <c r="A347" s="1">
        <v>45927</v>
      </c>
      <c r="B347">
        <v>0.53639999999999999</v>
      </c>
    </row>
    <row r="348" spans="1:2" x14ac:dyDescent="0.25">
      <c r="A348" s="1">
        <v>45928</v>
      </c>
      <c r="B348">
        <v>0.53849999999999998</v>
      </c>
    </row>
    <row r="349" spans="1:2" x14ac:dyDescent="0.25">
      <c r="A349" s="1">
        <v>45929</v>
      </c>
      <c r="B349">
        <v>0.54069999999999996</v>
      </c>
    </row>
    <row r="350" spans="1:2" x14ac:dyDescent="0.25">
      <c r="A350" s="1">
        <v>45930</v>
      </c>
      <c r="B350">
        <v>0.54279999999999995</v>
      </c>
    </row>
    <row r="351" spans="1:2" x14ac:dyDescent="0.25">
      <c r="A351" s="1">
        <v>45931</v>
      </c>
      <c r="B351">
        <v>0.54500000000000004</v>
      </c>
    </row>
    <row r="352" spans="1:2" x14ac:dyDescent="0.25">
      <c r="A352" s="1">
        <v>45932</v>
      </c>
      <c r="B352">
        <v>0.54710000000000003</v>
      </c>
    </row>
    <row r="353" spans="1:2" x14ac:dyDescent="0.25">
      <c r="A353" s="1">
        <v>45933</v>
      </c>
      <c r="B353">
        <v>0.54710000000000003</v>
      </c>
    </row>
    <row r="354" spans="1:2" x14ac:dyDescent="0.25">
      <c r="A354" s="1">
        <v>45934</v>
      </c>
      <c r="B354">
        <v>0.54930000000000001</v>
      </c>
    </row>
    <row r="355" spans="1:2" x14ac:dyDescent="0.25">
      <c r="A355" s="1">
        <v>45935</v>
      </c>
      <c r="B355">
        <v>0.5514</v>
      </c>
    </row>
    <row r="356" spans="1:2" x14ac:dyDescent="0.25">
      <c r="A356" s="1">
        <v>45936</v>
      </c>
      <c r="B356">
        <v>0.55359999999999998</v>
      </c>
    </row>
    <row r="357" spans="1:2" x14ac:dyDescent="0.25">
      <c r="A357" s="1">
        <v>45937</v>
      </c>
      <c r="B357">
        <v>0.55569999999999997</v>
      </c>
    </row>
    <row r="358" spans="1:2" x14ac:dyDescent="0.25">
      <c r="A358" s="1">
        <v>45938</v>
      </c>
      <c r="B358">
        <v>0.55789999999999995</v>
      </c>
    </row>
    <row r="359" spans="1:2" x14ac:dyDescent="0.25">
      <c r="A359" s="1">
        <v>45939</v>
      </c>
      <c r="B359">
        <v>0.56000000000000005</v>
      </c>
    </row>
    <row r="360" spans="1:2" x14ac:dyDescent="0.25">
      <c r="A360" s="1">
        <v>45940</v>
      </c>
      <c r="B360">
        <v>0.56000000000000005</v>
      </c>
    </row>
    <row r="361" spans="1:2" x14ac:dyDescent="0.25">
      <c r="A361" s="1">
        <v>45941</v>
      </c>
      <c r="B361">
        <v>0.56220000000000003</v>
      </c>
    </row>
    <row r="362" spans="1:2" x14ac:dyDescent="0.25">
      <c r="A362" s="1">
        <v>45942</v>
      </c>
      <c r="B362">
        <v>0.56430000000000002</v>
      </c>
    </row>
    <row r="363" spans="1:2" x14ac:dyDescent="0.25">
      <c r="A363" s="1">
        <v>45943</v>
      </c>
      <c r="B363">
        <v>0.5665</v>
      </c>
    </row>
    <row r="364" spans="1:2" x14ac:dyDescent="0.25">
      <c r="A364" s="1">
        <v>45944</v>
      </c>
      <c r="B364">
        <v>0.5665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4"/>
  <sheetViews>
    <sheetView workbookViewId="0">
      <selection activeCell="E16" sqref="E16"/>
    </sheetView>
  </sheetViews>
  <sheetFormatPr defaultRowHeight="15" x14ac:dyDescent="0.25"/>
  <cols>
    <col min="2" max="2" width="17.7109375" bestFit="1" customWidth="1"/>
    <col min="3" max="4" width="11.7109375" bestFit="1" customWidth="1"/>
    <col min="5" max="5" width="15.42578125" bestFit="1" customWidth="1"/>
  </cols>
  <sheetData>
    <row r="1" spans="1:5" x14ac:dyDescent="0.25">
      <c r="A1" t="s">
        <v>10</v>
      </c>
      <c r="B1" s="1">
        <f>'investor-example-com-data-copy'!A2</f>
        <v>45582</v>
      </c>
      <c r="C1" s="1">
        <f>'investor-example-com-data-copy'!A130</f>
        <v>45710</v>
      </c>
      <c r="D1" s="1">
        <f>'investor-example-com-data-copy'!A144</f>
        <v>45724</v>
      </c>
      <c r="E1" s="1">
        <f>'investor-example-com-data-copy'!A306</f>
        <v>45886</v>
      </c>
    </row>
    <row r="2" spans="1:5" x14ac:dyDescent="0.25">
      <c r="A2">
        <f ca="1">XIRR(B2:E2,B1:E1)</f>
        <v>0.49706268906593321</v>
      </c>
      <c r="B2" s="5">
        <f>-'investor-example-com-data-copy'!I2</f>
        <v>-2028110559</v>
      </c>
      <c r="C2">
        <f>-'investor-example-com-data-copy'!I130</f>
        <v>-1000000000</v>
      </c>
      <c r="D2">
        <f>-'investor-example-com-data-copy'!I144</f>
        <v>-1000000000</v>
      </c>
      <c r="E2" s="3">
        <f ca="1">'investor-example-com-data-copy'!O146</f>
        <v>5249125497.2813597</v>
      </c>
    </row>
    <row r="7" spans="1:5" x14ac:dyDescent="0.25">
      <c r="E7" s="6">
        <v>1.5</v>
      </c>
    </row>
    <row r="8" spans="1:5" x14ac:dyDescent="0.25">
      <c r="E8" s="6">
        <v>0.5</v>
      </c>
    </row>
    <row r="9" spans="1:5" x14ac:dyDescent="0.25">
      <c r="E9" s="6">
        <f>E7-E8</f>
        <v>1</v>
      </c>
    </row>
    <row r="10" spans="1:5" x14ac:dyDescent="0.25">
      <c r="E10" s="6">
        <v>0.02</v>
      </c>
    </row>
    <row r="11" spans="1:5" x14ac:dyDescent="0.25">
      <c r="E11" s="6">
        <f>MAX(E8,0.75*E7)</f>
        <v>1.125</v>
      </c>
    </row>
    <row r="13" spans="1:5" x14ac:dyDescent="0.25">
      <c r="E13" s="8">
        <f>E11-E10</f>
        <v>1.105</v>
      </c>
    </row>
    <row r="14" spans="1:5" x14ac:dyDescent="0.25">
      <c r="E14" s="8">
        <f>E7-E13</f>
        <v>0.39500000000000002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investor-example-com-data-copy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S.Namati</dc:creator>
  <cp:lastModifiedBy>P.Yousefpoor</cp:lastModifiedBy>
  <dcterms:created xsi:type="dcterms:W3CDTF">2025-08-17T18:29:13Z</dcterms:created>
  <dcterms:modified xsi:type="dcterms:W3CDTF">2025-08-21T05:50:35Z</dcterms:modified>
</cp:coreProperties>
</file>